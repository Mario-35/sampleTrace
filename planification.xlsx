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13_ncr:1_{868D2346-C7E2-4841-AE63-828752F7FA1B}" xr6:coauthVersionLast="47" xr6:coauthVersionMax="47" xr10:uidLastSave="{00000000-0000-0000-0000-000000000000}"/>
  <bookViews>
    <workbookView xWindow="3345" yWindow="870" windowWidth="38700" windowHeight="19155" tabRatio="415" xr2:uid="{00000000-000D-0000-FFFF-FFFF00000000}"/>
  </bookViews>
  <sheets>
    <sheet name="Projet" sheetId="17" r:id="rId1"/>
  </sheets>
  <definedNames>
    <definedName name="Aujourd’hui" localSheetId="0">TODAY()</definedName>
    <definedName name="Début_Projet" localSheetId="0">Projet!$C$6</definedName>
    <definedName name="_xlnm.Print_Titles" localSheetId="0">Projet!$6:$9</definedName>
    <definedName name="Incrément_de_défilement" localSheetId="0">Projet!$C$7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 i="17" l="1"/>
  <c r="F18" i="17" s="1"/>
  <c r="F19" i="17" s="1"/>
  <c r="F20" i="17" s="1"/>
  <c r="F28" i="17" l="1"/>
  <c r="F29" i="17" s="1"/>
  <c r="F26" i="17"/>
  <c r="F23" i="17"/>
  <c r="F24" i="17" s="1"/>
  <c r="F25" i="17" s="1"/>
  <c r="F16" i="17"/>
  <c r="F13" i="17"/>
  <c r="F21" i="17"/>
  <c r="F15" i="17"/>
  <c r="F14" i="17"/>
  <c r="I7" i="17" l="1"/>
  <c r="I9" i="17" l="1"/>
  <c r="J7" i="17" l="1"/>
  <c r="J9" i="17" l="1"/>
  <c r="I22" i="17"/>
  <c r="I26" i="17"/>
  <c r="I13" i="17"/>
  <c r="I11" i="17"/>
  <c r="I23" i="17"/>
  <c r="I27" i="17"/>
  <c r="I21" i="17"/>
  <c r="I24" i="17"/>
  <c r="I15" i="17"/>
  <c r="I25" i="17"/>
  <c r="I29" i="17"/>
  <c r="I12" i="17"/>
  <c r="I17" i="17"/>
  <c r="I16" i="17"/>
  <c r="I19" i="17"/>
  <c r="I28" i="17"/>
  <c r="I14" i="17"/>
  <c r="I6" i="17"/>
  <c r="I18" i="17"/>
  <c r="I20" i="17"/>
  <c r="J16" i="17" l="1"/>
  <c r="J14" i="17"/>
  <c r="J15" i="17"/>
  <c r="J25" i="17"/>
  <c r="J23" i="17"/>
  <c r="J20" i="17"/>
  <c r="J18" i="17"/>
  <c r="K7" i="17"/>
  <c r="K9" i="17" l="1"/>
  <c r="J17" i="17"/>
  <c r="J22" i="17"/>
  <c r="J27" i="17"/>
  <c r="J12" i="17"/>
  <c r="J21" i="17"/>
  <c r="J19" i="17"/>
  <c r="J28" i="17"/>
  <c r="J11" i="17"/>
  <c r="J13" i="17"/>
  <c r="J24" i="17"/>
  <c r="J26" i="17"/>
  <c r="J29" i="17"/>
  <c r="K23" i="17" l="1"/>
  <c r="K18" i="17"/>
  <c r="K13" i="17"/>
  <c r="K29" i="17"/>
  <c r="K12" i="17"/>
  <c r="K11" i="17"/>
  <c r="K21" i="17"/>
  <c r="K20" i="17"/>
  <c r="K17" i="17"/>
  <c r="K28" i="17"/>
  <c r="K19" i="17"/>
  <c r="K24" i="17"/>
  <c r="K25" i="17"/>
  <c r="K22" i="17"/>
  <c r="K14" i="17"/>
  <c r="K16" i="17"/>
  <c r="L7" i="17"/>
  <c r="L9" i="17" l="1"/>
  <c r="K15" i="17"/>
  <c r="K27" i="17"/>
  <c r="K26" i="17"/>
  <c r="L20" i="17" l="1"/>
  <c r="L25" i="17"/>
  <c r="L16" i="17"/>
  <c r="L15" i="17"/>
  <c r="L13" i="17"/>
  <c r="M7" i="17"/>
  <c r="M29" i="17" l="1"/>
  <c r="M9" i="17"/>
  <c r="L17" i="17"/>
  <c r="L19" i="17"/>
  <c r="L23" i="17"/>
  <c r="L27" i="17"/>
  <c r="L18" i="17"/>
  <c r="L12" i="17"/>
  <c r="L24" i="17"/>
  <c r="L21" i="17"/>
  <c r="L28" i="17"/>
  <c r="L14" i="17"/>
  <c r="L11" i="17"/>
  <c r="L22" i="17"/>
  <c r="L26" i="17"/>
  <c r="L29" i="17"/>
  <c r="M12" i="17" l="1"/>
  <c r="M21" i="17"/>
  <c r="M26" i="17"/>
  <c r="M18" i="17"/>
  <c r="M19" i="17"/>
  <c r="M14" i="17"/>
  <c r="M23" i="17"/>
  <c r="M17" i="17"/>
  <c r="M16" i="17"/>
  <c r="M25" i="17"/>
  <c r="M15" i="17"/>
  <c r="M20" i="17"/>
  <c r="M27" i="17"/>
  <c r="M28" i="17"/>
  <c r="N7" i="17"/>
  <c r="N9" i="17" l="1"/>
  <c r="M13" i="17"/>
  <c r="M11" i="17"/>
  <c r="M22" i="17"/>
  <c r="M24" i="17"/>
  <c r="N11" i="17" l="1"/>
  <c r="N17" i="17"/>
  <c r="N21" i="17"/>
  <c r="N27" i="17"/>
  <c r="N16" i="17"/>
  <c r="N22" i="17"/>
  <c r="N24" i="17"/>
  <c r="O7" i="17"/>
  <c r="O9" i="17" l="1"/>
  <c r="N25" i="17"/>
  <c r="N19" i="17"/>
  <c r="N12" i="17"/>
  <c r="N14" i="17"/>
  <c r="N15" i="17"/>
  <c r="N13" i="17"/>
  <c r="N18" i="17"/>
  <c r="N23" i="17"/>
  <c r="N28" i="17"/>
  <c r="N20" i="17"/>
  <c r="N26" i="17"/>
  <c r="N29" i="17"/>
  <c r="O12" i="17" l="1"/>
  <c r="O28" i="17"/>
  <c r="O20" i="17"/>
  <c r="O15" i="17"/>
  <c r="O11" i="17"/>
  <c r="O19" i="17"/>
  <c r="O24" i="17"/>
  <c r="O17" i="17"/>
  <c r="O22" i="17"/>
  <c r="O29" i="17"/>
  <c r="O16" i="17"/>
  <c r="O23" i="17"/>
  <c r="O25" i="17"/>
  <c r="O21" i="17"/>
  <c r="O27" i="17"/>
  <c r="O14" i="17"/>
  <c r="P7" i="17"/>
  <c r="P9" i="17" l="1"/>
  <c r="O13" i="17"/>
  <c r="O18" i="17"/>
  <c r="O26" i="17"/>
  <c r="P16" i="17" l="1"/>
  <c r="P28" i="17"/>
  <c r="P12" i="17"/>
  <c r="P24" i="17"/>
  <c r="P22" i="17"/>
  <c r="P26" i="17"/>
  <c r="P14" i="17"/>
  <c r="P18" i="17"/>
  <c r="P19" i="17"/>
  <c r="P15" i="17"/>
  <c r="P29" i="17"/>
  <c r="P6" i="17"/>
  <c r="P23" i="17"/>
  <c r="P17" i="17"/>
  <c r="P27" i="17"/>
  <c r="P13" i="17"/>
  <c r="P11" i="17"/>
  <c r="Q7" i="17"/>
  <c r="Q9" i="17" l="1"/>
  <c r="P20" i="17"/>
  <c r="P21" i="17"/>
  <c r="P25" i="17"/>
  <c r="Q18" i="17" l="1"/>
  <c r="Q19" i="17"/>
  <c r="Q13" i="17"/>
  <c r="Q20" i="17"/>
  <c r="Q17" i="17"/>
  <c r="Q21" i="17"/>
  <c r="Q23" i="17"/>
  <c r="Q24" i="17"/>
  <c r="Q27" i="17"/>
  <c r="Q14" i="17"/>
  <c r="Q11" i="17"/>
  <c r="Q22" i="17"/>
  <c r="Q25" i="17"/>
  <c r="Q29" i="17"/>
  <c r="Q28" i="17"/>
  <c r="Q12" i="17"/>
  <c r="R7" i="17"/>
  <c r="R9" i="17" l="1"/>
  <c r="Q15" i="17"/>
  <c r="Q16" i="17"/>
  <c r="Q26" i="17"/>
  <c r="R21" i="17" l="1"/>
  <c r="R19" i="17"/>
  <c r="S7" i="17"/>
  <c r="S9" i="17" l="1"/>
  <c r="R13" i="17"/>
  <c r="R11" i="17"/>
  <c r="R12" i="17"/>
  <c r="R14" i="17"/>
  <c r="R18" i="17"/>
  <c r="R23" i="17"/>
  <c r="R28" i="17"/>
  <c r="R24" i="17"/>
  <c r="R15" i="17"/>
  <c r="R25" i="17"/>
  <c r="R29" i="17"/>
  <c r="R16" i="17"/>
  <c r="R20" i="17"/>
  <c r="R17" i="17"/>
  <c r="R22" i="17"/>
  <c r="R26" i="17"/>
  <c r="R27" i="17"/>
  <c r="S20" i="17" l="1"/>
  <c r="S15" i="17" l="1"/>
  <c r="S28" i="17"/>
  <c r="S24" i="17"/>
  <c r="S16" i="17"/>
  <c r="S26" i="17"/>
  <c r="T7" i="17"/>
  <c r="T9" i="17" l="1"/>
  <c r="S14" i="17"/>
  <c r="S19" i="17"/>
  <c r="S12" i="17"/>
  <c r="S18" i="17"/>
  <c r="S17" i="17"/>
  <c r="S25" i="17"/>
  <c r="S13" i="17"/>
  <c r="S29" i="17"/>
  <c r="S11" i="17"/>
  <c r="S27" i="17"/>
  <c r="S23" i="17"/>
  <c r="S21" i="17"/>
  <c r="S22" i="17"/>
  <c r="T16" i="17" l="1"/>
  <c r="T18" i="17"/>
  <c r="T17" i="17" l="1"/>
  <c r="T22" i="17"/>
  <c r="T25" i="17"/>
  <c r="T23" i="17"/>
  <c r="T26" i="17"/>
  <c r="T20" i="17"/>
  <c r="T21" i="17"/>
  <c r="T28" i="17"/>
  <c r="T13" i="17"/>
  <c r="U7" i="17"/>
  <c r="U28" i="17" l="1"/>
  <c r="U9" i="17"/>
  <c r="T14" i="17"/>
  <c r="T12" i="17"/>
  <c r="T24" i="17"/>
  <c r="T29" i="17"/>
  <c r="T19" i="17"/>
  <c r="T11" i="17"/>
  <c r="T15" i="17"/>
  <c r="T27" i="17"/>
  <c r="U29" i="17" l="1"/>
  <c r="U17" i="17" l="1"/>
  <c r="U16" i="17"/>
  <c r="U11" i="17"/>
  <c r="U19" i="17"/>
  <c r="U18" i="17"/>
  <c r="U23" i="17"/>
  <c r="V7" i="17"/>
  <c r="V9" i="17" l="1"/>
  <c r="U21" i="17"/>
  <c r="U24" i="17"/>
  <c r="U15" i="17"/>
  <c r="U14" i="17"/>
  <c r="U25" i="17"/>
  <c r="U26" i="17"/>
  <c r="U27" i="17"/>
  <c r="U12" i="17"/>
  <c r="U13" i="17"/>
  <c r="U22" i="17"/>
  <c r="U20" i="17"/>
  <c r="V11" i="17" l="1"/>
  <c r="V28" i="17"/>
  <c r="V15" i="17"/>
  <c r="V23" i="17"/>
  <c r="V24" i="17"/>
  <c r="V14" i="17"/>
  <c r="W7" i="17"/>
  <c r="W9" i="17" l="1"/>
  <c r="V16" i="17"/>
  <c r="V17" i="17"/>
  <c r="V22" i="17"/>
  <c r="V26" i="17"/>
  <c r="V29" i="17"/>
  <c r="V13" i="17"/>
  <c r="V21" i="17"/>
  <c r="V25" i="17"/>
  <c r="V12" i="17"/>
  <c r="V20" i="17"/>
  <c r="V18" i="17"/>
  <c r="V19" i="17"/>
  <c r="V27" i="17"/>
  <c r="W28" i="17" l="1"/>
  <c r="W22" i="17"/>
  <c r="W17" i="17"/>
  <c r="W20" i="17"/>
  <c r="X7" i="17"/>
  <c r="X9" i="17" s="1"/>
  <c r="W6" i="17"/>
  <c r="W12" i="17" l="1"/>
  <c r="W24" i="17"/>
  <c r="W21" i="17"/>
  <c r="W29" i="17"/>
  <c r="W11" i="17"/>
  <c r="W27" i="17"/>
  <c r="W25" i="17"/>
  <c r="W14" i="17"/>
  <c r="W19" i="17"/>
  <c r="W18" i="17"/>
  <c r="W23" i="17"/>
  <c r="W16" i="17"/>
  <c r="W13" i="17"/>
  <c r="W15" i="17"/>
  <c r="W26" i="17"/>
  <c r="X29" i="17" l="1"/>
  <c r="X28" i="17"/>
  <c r="X25" i="17"/>
  <c r="X27" i="17"/>
  <c r="X21" i="17"/>
  <c r="X17" i="17"/>
  <c r="X15" i="17"/>
  <c r="X24" i="17"/>
  <c r="X20" i="17"/>
  <c r="X26" i="17"/>
  <c r="X23" i="17"/>
  <c r="X19" i="17"/>
  <c r="X12" i="17"/>
  <c r="Y7" i="17"/>
  <c r="Y9" i="17" s="1"/>
  <c r="X22" i="17"/>
  <c r="X18" i="17"/>
  <c r="X16" i="17"/>
  <c r="X11" i="17"/>
  <c r="X14" i="17"/>
  <c r="X13" i="17"/>
  <c r="Y29" i="17" l="1"/>
  <c r="Y27" i="17"/>
  <c r="Y26" i="17"/>
  <c r="Y25" i="17"/>
  <c r="Y24" i="17"/>
  <c r="Y20" i="17"/>
  <c r="Y23" i="17"/>
  <c r="Y19" i="17"/>
  <c r="Y22" i="17"/>
  <c r="Y28" i="17"/>
  <c r="Y18" i="17"/>
  <c r="Y16" i="17"/>
  <c r="Y11" i="17"/>
  <c r="Y21" i="17"/>
  <c r="Y17" i="17"/>
  <c r="Y15" i="17"/>
  <c r="Y14" i="17"/>
  <c r="Y13" i="17"/>
  <c r="Z7" i="17"/>
  <c r="Z9" i="17" s="1"/>
  <c r="Y12" i="17"/>
  <c r="Z29" i="17" l="1"/>
  <c r="Z28" i="17"/>
  <c r="Z27" i="17"/>
  <c r="Z26" i="17"/>
  <c r="Z25" i="17"/>
  <c r="Z23" i="17"/>
  <c r="Z19" i="17"/>
  <c r="Z22" i="17"/>
  <c r="Z18" i="17"/>
  <c r="Z21" i="17"/>
  <c r="Z24" i="17"/>
  <c r="Z17" i="17"/>
  <c r="Z15" i="17"/>
  <c r="Z14" i="17"/>
  <c r="Z13" i="17"/>
  <c r="Z12" i="17"/>
  <c r="AA7" i="17"/>
  <c r="AA9" i="17" s="1"/>
  <c r="Z20" i="17"/>
  <c r="Z11" i="17"/>
  <c r="Z16" i="17"/>
  <c r="AA29" i="17" l="1"/>
  <c r="AA28" i="17"/>
  <c r="AA26" i="17"/>
  <c r="AA25" i="17"/>
  <c r="AA22" i="17"/>
  <c r="AA18" i="17"/>
  <c r="AA27" i="17"/>
  <c r="AA21" i="17"/>
  <c r="AA17" i="17"/>
  <c r="AA15" i="17"/>
  <c r="AA24" i="17"/>
  <c r="AA20" i="17"/>
  <c r="AA13" i="17"/>
  <c r="AA12" i="17"/>
  <c r="AB7" i="17"/>
  <c r="AB9" i="17" s="1"/>
  <c r="AA19" i="17"/>
  <c r="AA23" i="17"/>
  <c r="AA16" i="17"/>
  <c r="AA11" i="17"/>
  <c r="AA14" i="17"/>
  <c r="AB29" i="17" l="1"/>
  <c r="AB28" i="17"/>
  <c r="AB25" i="17"/>
  <c r="AB27" i="17"/>
  <c r="AB21" i="17"/>
  <c r="AB17" i="17"/>
  <c r="AB15" i="17"/>
  <c r="AB26" i="17"/>
  <c r="AB24" i="17"/>
  <c r="AB20" i="17"/>
  <c r="AB23" i="17"/>
  <c r="AB22" i="17"/>
  <c r="AB12" i="17"/>
  <c r="AC7" i="17"/>
  <c r="AC9" i="17" s="1"/>
  <c r="AB16" i="17"/>
  <c r="AB11" i="17"/>
  <c r="AB19" i="17"/>
  <c r="AB14" i="17"/>
  <c r="AB18" i="17"/>
  <c r="AB13" i="17"/>
  <c r="AC29" i="17" l="1"/>
  <c r="AC27" i="17"/>
  <c r="AC28" i="17"/>
  <c r="AC26" i="17"/>
  <c r="AC24" i="17"/>
  <c r="AC20" i="17"/>
  <c r="AC23" i="17"/>
  <c r="AC19" i="17"/>
  <c r="AC22" i="17"/>
  <c r="AC21" i="17"/>
  <c r="AC16" i="17"/>
  <c r="AC11" i="17"/>
  <c r="AC25" i="17"/>
  <c r="AC14" i="17"/>
  <c r="AC18" i="17"/>
  <c r="AC13" i="17"/>
  <c r="AC12" i="17"/>
  <c r="AC15" i="17"/>
  <c r="AC17" i="17"/>
  <c r="AD7" i="17"/>
  <c r="AD9" i="17" s="1"/>
  <c r="AD29" i="17" l="1"/>
  <c r="AD28" i="17"/>
  <c r="AD27" i="17"/>
  <c r="AD26" i="17"/>
  <c r="AD25" i="17"/>
  <c r="AD23" i="17"/>
  <c r="AD19" i="17"/>
  <c r="AD22" i="17"/>
  <c r="AD18" i="17"/>
  <c r="AD21" i="17"/>
  <c r="AD14" i="17"/>
  <c r="AD13" i="17"/>
  <c r="AD6" i="17"/>
  <c r="AD24" i="17"/>
  <c r="AD20" i="17"/>
  <c r="AD17" i="17"/>
  <c r="AD15" i="17"/>
  <c r="AD12" i="17"/>
  <c r="AE7" i="17"/>
  <c r="AE9" i="17" s="1"/>
  <c r="AD16" i="17"/>
  <c r="AD11" i="17"/>
  <c r="AE29" i="17" l="1"/>
  <c r="AE28" i="17"/>
  <c r="AE26" i="17"/>
  <c r="AE25" i="17"/>
  <c r="AE27" i="17"/>
  <c r="AE22" i="17"/>
  <c r="AE18" i="17"/>
  <c r="AE21" i="17"/>
  <c r="AE17" i="17"/>
  <c r="AE15" i="17"/>
  <c r="AE24" i="17"/>
  <c r="AE20" i="17"/>
  <c r="AE13" i="17"/>
  <c r="AE23" i="17"/>
  <c r="AE19" i="17"/>
  <c r="AE12" i="17"/>
  <c r="AF7" i="17"/>
  <c r="AF9" i="17" s="1"/>
  <c r="AE16" i="17"/>
  <c r="AE11" i="17"/>
  <c r="AE14" i="17"/>
  <c r="AF29" i="17" l="1"/>
  <c r="AF28" i="17"/>
  <c r="AF25" i="17"/>
  <c r="AF27" i="17"/>
  <c r="AF26" i="17"/>
  <c r="AF21" i="17"/>
  <c r="AF17" i="17"/>
  <c r="AF15" i="17"/>
  <c r="AF24" i="17"/>
  <c r="AF20" i="17"/>
  <c r="AF16" i="17"/>
  <c r="AF23" i="17"/>
  <c r="AF19" i="17"/>
  <c r="AF12" i="17"/>
  <c r="AG7" i="17"/>
  <c r="AG9" i="17" s="1"/>
  <c r="AF18" i="17"/>
  <c r="AF11" i="17"/>
  <c r="AF22" i="17"/>
  <c r="AF14" i="17"/>
  <c r="AF13" i="17"/>
  <c r="AG28" i="17" l="1"/>
  <c r="AG27" i="17"/>
  <c r="AG26" i="17"/>
  <c r="AG24" i="17"/>
  <c r="AG20" i="17"/>
  <c r="AG16" i="17"/>
  <c r="AG23" i="17"/>
  <c r="AG19" i="17"/>
  <c r="AG25" i="17"/>
  <c r="AG22" i="17"/>
  <c r="AG18" i="17"/>
  <c r="AG11" i="17"/>
  <c r="AG17" i="17"/>
  <c r="AG15" i="17"/>
  <c r="AG14" i="17"/>
  <c r="AG13" i="17"/>
  <c r="AG29" i="17"/>
  <c r="AG21" i="17"/>
  <c r="AH7" i="17"/>
  <c r="AH9" i="17" s="1"/>
  <c r="AG12" i="17"/>
  <c r="AH29" i="17" l="1"/>
  <c r="AH28" i="17"/>
  <c r="AH27" i="17"/>
  <c r="AH26" i="17"/>
  <c r="AH25" i="17"/>
  <c r="AH23" i="17"/>
  <c r="AH19" i="17"/>
  <c r="AH22" i="17"/>
  <c r="AH18" i="17"/>
  <c r="AH21" i="17"/>
  <c r="AH17" i="17"/>
  <c r="AH15" i="17"/>
  <c r="AH14" i="17"/>
  <c r="AH20" i="17"/>
  <c r="AH16" i="17"/>
  <c r="AH13" i="17"/>
  <c r="AH24" i="17"/>
  <c r="AH12" i="17"/>
  <c r="AI7" i="17"/>
  <c r="AI9" i="17" s="1"/>
  <c r="AH11" i="17"/>
  <c r="AI29" i="17" l="1"/>
  <c r="AI28" i="17"/>
  <c r="AI26" i="17"/>
  <c r="AI25" i="17"/>
  <c r="AI22" i="17"/>
  <c r="AI18" i="17"/>
  <c r="AI21" i="17"/>
  <c r="AI17" i="17"/>
  <c r="AI15" i="17"/>
  <c r="AI24" i="17"/>
  <c r="AI20" i="17"/>
  <c r="AI23" i="17"/>
  <c r="AI16" i="17"/>
  <c r="AI13" i="17"/>
  <c r="AI12" i="17"/>
  <c r="AJ7" i="17"/>
  <c r="AJ9" i="17" s="1"/>
  <c r="AI27" i="17"/>
  <c r="AI11" i="17"/>
  <c r="AI19" i="17"/>
  <c r="AI14" i="17"/>
  <c r="AJ29" i="17" l="1"/>
  <c r="AJ28" i="17"/>
  <c r="AJ25" i="17"/>
  <c r="AJ27" i="17"/>
  <c r="AJ21" i="17"/>
  <c r="AJ17" i="17"/>
  <c r="AJ15" i="17"/>
  <c r="AJ24" i="17"/>
  <c r="AJ20" i="17"/>
  <c r="AJ16" i="17"/>
  <c r="AJ23" i="17"/>
  <c r="AJ12" i="17"/>
  <c r="AK7" i="17"/>
  <c r="AK9" i="17" s="1"/>
  <c r="AJ26" i="17"/>
  <c r="AJ11" i="17"/>
  <c r="AJ22" i="17"/>
  <c r="AJ19" i="17"/>
  <c r="AJ14" i="17"/>
  <c r="AJ13" i="17"/>
  <c r="AJ18" i="17"/>
  <c r="AK28" i="17" l="1"/>
  <c r="AK24" i="17"/>
  <c r="AK27" i="17"/>
  <c r="AK29" i="17"/>
  <c r="AK26" i="17"/>
  <c r="AK20" i="17"/>
  <c r="AK16" i="17"/>
  <c r="AK25" i="17"/>
  <c r="AK23" i="17"/>
  <c r="AK19" i="17"/>
  <c r="AK22" i="17"/>
  <c r="AK11" i="17"/>
  <c r="AK6" i="17"/>
  <c r="AK14" i="17"/>
  <c r="AK21" i="17"/>
  <c r="AK18" i="17"/>
  <c r="AK13" i="17"/>
  <c r="AK15" i="17"/>
  <c r="AK17" i="17"/>
  <c r="AK12" i="17"/>
</calcChain>
</file>

<file path=xl/sharedStrings.xml><?xml version="1.0" encoding="utf-8"?>
<sst xmlns="http://schemas.openxmlformats.org/spreadsheetml/2006/main" count="52" uniqueCount="38">
  <si>
    <t>Légende :</t>
  </si>
  <si>
    <t>En bonne voie</t>
  </si>
  <si>
    <t>Risque faible</t>
  </si>
  <si>
    <t>Risque moyen</t>
  </si>
  <si>
    <t>Risque élevé</t>
  </si>
  <si>
    <t>Non attribué</t>
  </si>
  <si>
    <t>Date de début du projet :</t>
  </si>
  <si>
    <t>Incrément de défilement :</t>
  </si>
  <si>
    <t>Description du jalon</t>
  </si>
  <si>
    <t>Catégorie</t>
  </si>
  <si>
    <t>Attribué à</t>
  </si>
  <si>
    <t>Progression</t>
  </si>
  <si>
    <t>Début</t>
  </si>
  <si>
    <t>Jours</t>
  </si>
  <si>
    <t>Objectif</t>
  </si>
  <si>
    <t>Nom</t>
  </si>
  <si>
    <t>Jalon</t>
  </si>
  <si>
    <t>Gestion des échantillons</t>
  </si>
  <si>
    <t>ADAM Mario</t>
  </si>
  <si>
    <t>Livraison du projet :</t>
  </si>
  <si>
    <t>Modélisation données</t>
  </si>
  <si>
    <t>Modélisation</t>
  </si>
  <si>
    <t>Conception</t>
  </si>
  <si>
    <t>BDD</t>
  </si>
  <si>
    <t>Interface de saisie</t>
  </si>
  <si>
    <t>Impression Etiquettes</t>
  </si>
  <si>
    <t>Tests</t>
  </si>
  <si>
    <t>Structure logicielle</t>
  </si>
  <si>
    <t>Validation du modèle et des champs</t>
  </si>
  <si>
    <t>Demande serveur Ariane</t>
  </si>
  <si>
    <t>Choix nom app</t>
  </si>
  <si>
    <t>Livraison</t>
  </si>
  <si>
    <t>Correction</t>
  </si>
  <si>
    <t>Premiers essais</t>
  </si>
  <si>
    <t>Deployement</t>
  </si>
  <si>
    <t xml:space="preserve">LIVRAISON </t>
  </si>
  <si>
    <t>Retour DRAF</t>
  </si>
  <si>
    <t>Retour RDV DRAF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</si>
</sst>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0\ &quot;€&quot;_-;\-* #,##0\ &quot;€&quot;_-;_-* &quot;-&quot;\ &quot;€&quot;_-;_-@_-"/>
    <numFmt numFmtId="44" formatCode="_-* #,##0.00\ &quot;€&quot;_-;\-* #,##0.00\ &quot;€&quot;_-;_-* &quot;-&quot;??\ &quot;€&quot;_-;_-@_-"/>
    <numFmt numFmtId="164" formatCode="_(* #,##0.00_);_(* \(#,##0.00\);_(* &quot;-&quot;??_);_(@_)"/>
    <numFmt numFmtId="165" formatCode="#,##0_ ;\-#,##0\ "/>
    <numFmt numFmtId="166" formatCode="d"/>
  </numFmts>
  <fonts count="29"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b/>
      <sz val="11"/>
      <name val="Calibri"/>
      <family val="2"/>
      <scheme val="minor"/>
    </font>
    <font>
      <sz val="14"/>
      <name val="Calibri"/>
      <family val="2"/>
      <scheme val="minor"/>
    </font>
    <font>
      <b/>
      <sz val="11"/>
      <color theme="0"/>
      <name val="Calibri"/>
      <family val="2"/>
      <scheme val="minor"/>
    </font>
    <font>
      <b/>
      <sz val="20"/>
      <name val="Calibri"/>
      <family val="2"/>
      <scheme val="major"/>
    </font>
    <font>
      <b/>
      <sz val="22"/>
      <name val="Calibri"/>
      <family val="2"/>
      <scheme val="major"/>
    </font>
    <font>
      <b/>
      <sz val="16"/>
      <name val="Calibri"/>
      <family val="2"/>
      <scheme val="minor"/>
    </font>
    <font>
      <b/>
      <sz val="26"/>
      <name val="Calibri"/>
      <family val="2"/>
      <scheme val="maj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s>
  <fills count="41">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7"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5" fontId="4" fillId="0" borderId="0" applyFont="0" applyFill="0" applyBorder="0" applyProtection="0">
      <alignment horizontal="center" vertical="center"/>
    </xf>
    <xf numFmtId="0" fontId="7" fillId="3" borderId="0" applyNumberFormat="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18" fillId="0" borderId="0" applyNumberFormat="0" applyFill="0" applyBorder="0" applyAlignment="0" applyProtection="0"/>
    <xf numFmtId="0" fontId="19" fillId="11" borderId="0" applyNumberFormat="0" applyBorder="0" applyAlignment="0" applyProtection="0"/>
    <xf numFmtId="0" fontId="20" fillId="12" borderId="0" applyNumberFormat="0" applyBorder="0" applyAlignment="0" applyProtection="0"/>
    <xf numFmtId="0" fontId="21" fillId="13" borderId="0" applyNumberFormat="0" applyBorder="0" applyAlignment="0" applyProtection="0"/>
    <xf numFmtId="0" fontId="22" fillId="14" borderId="13" applyNumberFormat="0" applyAlignment="0" applyProtection="0"/>
    <xf numFmtId="0" fontId="23" fillId="15" borderId="14" applyNumberFormat="0" applyAlignment="0" applyProtection="0"/>
    <xf numFmtId="0" fontId="24" fillId="15" borderId="13" applyNumberFormat="0" applyAlignment="0" applyProtection="0"/>
    <xf numFmtId="0" fontId="25" fillId="0" borderId="15" applyNumberFormat="0" applyFill="0" applyAlignment="0" applyProtection="0"/>
    <xf numFmtId="0" fontId="13" fillId="16" borderId="16" applyNumberFormat="0" applyAlignment="0" applyProtection="0"/>
    <xf numFmtId="0" fontId="26" fillId="0" borderId="0" applyNumberFormat="0" applyFill="0" applyBorder="0" applyAlignment="0" applyProtection="0"/>
    <xf numFmtId="0" fontId="4" fillId="17" borderId="17" applyNumberFormat="0" applyFont="0" applyAlignment="0" applyProtection="0"/>
    <xf numFmtId="0" fontId="27" fillId="0" borderId="0" applyNumberFormat="0" applyFill="0" applyBorder="0" applyAlignment="0" applyProtection="0"/>
    <xf numFmtId="0" fontId="28" fillId="0" borderId="18" applyNumberFormat="0" applyFill="0" applyAlignment="0" applyProtection="0"/>
    <xf numFmtId="0" fontId="7"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7"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7"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7"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7"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cellStyleXfs>
  <cellXfs count="57">
    <xf numFmtId="0" fontId="0" fillId="0" borderId="0" xfId="0"/>
    <xf numFmtId="0" fontId="0" fillId="0" borderId="0" xfId="0" applyAlignment="1">
      <alignment vertical="center"/>
    </xf>
    <xf numFmtId="0" fontId="0" fillId="0" borderId="0" xfId="0" applyAlignment="1">
      <alignment horizontal="center"/>
    </xf>
    <xf numFmtId="0" fontId="7" fillId="0" borderId="0" xfId="3"/>
    <xf numFmtId="0" fontId="7" fillId="0" borderId="0" xfId="3" applyAlignment="1">
      <alignment wrapText="1"/>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5"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1" fillId="0" borderId="0" xfId="2" applyFont="1" applyFill="1" applyBorder="1">
      <alignment horizontal="center" vertical="center"/>
    </xf>
    <xf numFmtId="14" fontId="3" fillId="0" borderId="0" xfId="9" applyFont="1" applyFill="1" applyBorder="1">
      <alignment horizontal="center" vertical="center"/>
    </xf>
    <xf numFmtId="165" fontId="3" fillId="0" borderId="0" xfId="10" applyFont="1" applyFill="1" applyBorder="1">
      <alignment horizontal="center" vertical="center"/>
    </xf>
    <xf numFmtId="0" fontId="3" fillId="0" borderId="0" xfId="0" applyFont="1" applyAlignment="1">
      <alignment horizontal="left" vertical="center" wrapText="1" indent="2"/>
    </xf>
    <xf numFmtId="0" fontId="3" fillId="2" borderId="0" xfId="0" applyFont="1" applyFill="1"/>
    <xf numFmtId="0" fontId="15" fillId="0" borderId="0" xfId="5" applyFont="1" applyFill="1" applyBorder="1" applyAlignment="1">
      <alignment horizontal="left" vertical="center"/>
    </xf>
    <xf numFmtId="0" fontId="14" fillId="0" borderId="0" xfId="0" applyFont="1" applyAlignment="1">
      <alignment horizontal="left" vertical="center"/>
    </xf>
    <xf numFmtId="0" fontId="3" fillId="0" borderId="0" xfId="0" applyFont="1" applyAlignment="1">
      <alignment vertical="center"/>
    </xf>
    <xf numFmtId="0" fontId="12" fillId="0" borderId="0" xfId="0" applyFont="1" applyAlignment="1">
      <alignment horizontal="center" vertical="center"/>
    </xf>
    <xf numFmtId="0" fontId="12"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16"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2" fillId="0" borderId="0" xfId="0" applyFont="1" applyAlignment="1">
      <alignment vertical="center"/>
    </xf>
    <xf numFmtId="0" fontId="8" fillId="0" borderId="3" xfId="0" applyFont="1" applyBorder="1" applyAlignment="1">
      <alignment horizontal="center" vertical="center" wrapText="1"/>
    </xf>
    <xf numFmtId="0" fontId="16" fillId="0" borderId="10" xfId="0" applyFont="1" applyBorder="1" applyAlignment="1">
      <alignment vertical="center"/>
    </xf>
    <xf numFmtId="0" fontId="1" fillId="10" borderId="1" xfId="0" applyFont="1" applyFill="1" applyBorder="1" applyAlignment="1">
      <alignment horizontal="center" vertical="center" shrinkToFit="1"/>
    </xf>
    <xf numFmtId="0" fontId="13" fillId="9" borderId="0" xfId="0" applyFont="1" applyFill="1" applyAlignment="1">
      <alignment horizontal="left" vertical="center" indent="1"/>
    </xf>
    <xf numFmtId="0" fontId="13" fillId="9" borderId="0" xfId="0" applyFont="1" applyFill="1" applyAlignment="1">
      <alignment horizontal="center" vertical="center" wrapText="1"/>
    </xf>
    <xf numFmtId="0" fontId="11" fillId="0" borderId="0" xfId="0" applyFont="1" applyAlignment="1">
      <alignment horizontal="left" vertical="center" wrapText="1" indent="1"/>
    </xf>
    <xf numFmtId="166" fontId="1" fillId="10" borderId="8" xfId="0" applyNumberFormat="1" applyFont="1" applyFill="1" applyBorder="1" applyAlignment="1">
      <alignment horizontal="center" vertical="center"/>
    </xf>
    <xf numFmtId="166" fontId="1" fillId="10" borderId="5" xfId="0" applyNumberFormat="1" applyFont="1" applyFill="1" applyBorder="1" applyAlignment="1">
      <alignment horizontal="center" vertical="center"/>
    </xf>
    <xf numFmtId="166" fontId="1" fillId="10" borderId="9" xfId="0" applyNumberFormat="1" applyFont="1" applyFill="1" applyBorder="1" applyAlignment="1">
      <alignment horizontal="center" vertical="center"/>
    </xf>
    <xf numFmtId="166" fontId="1" fillId="10" borderId="2" xfId="0" applyNumberFormat="1" applyFont="1" applyFill="1" applyBorder="1" applyAlignment="1">
      <alignment horizontal="center" vertical="center"/>
    </xf>
    <xf numFmtId="166" fontId="1" fillId="10" borderId="0" xfId="0" applyNumberFormat="1" applyFont="1" applyFill="1" applyAlignment="1">
      <alignment horizontal="center" vertical="center"/>
    </xf>
    <xf numFmtId="166" fontId="1" fillId="10" borderId="11" xfId="0" applyNumberFormat="1" applyFont="1" applyFill="1" applyBorder="1" applyAlignment="1">
      <alignment horizontal="center" vertical="center"/>
    </xf>
    <xf numFmtId="166" fontId="1" fillId="10" borderId="12" xfId="0" applyNumberFormat="1" applyFont="1" applyFill="1" applyBorder="1" applyAlignment="1">
      <alignment horizontal="center" vertical="center"/>
    </xf>
    <xf numFmtId="0" fontId="10" fillId="8" borderId="0" xfId="0" applyFont="1" applyFill="1" applyAlignment="1">
      <alignment horizontal="center" vertical="center"/>
    </xf>
    <xf numFmtId="0" fontId="10" fillId="6" borderId="0" xfId="0" applyFont="1" applyFill="1" applyAlignment="1">
      <alignment horizontal="center" vertical="center"/>
    </xf>
    <xf numFmtId="0" fontId="9" fillId="4" borderId="0" xfId="0" applyFont="1" applyFill="1" applyAlignment="1">
      <alignment horizontal="center" vertical="center"/>
    </xf>
    <xf numFmtId="0" fontId="17" fillId="2" borderId="0" xfId="5" applyFont="1" applyFill="1" applyAlignment="1">
      <alignment horizontal="left" vertical="center" indent="1"/>
    </xf>
    <xf numFmtId="0" fontId="12" fillId="2" borderId="0" xfId="0" applyFont="1" applyFill="1" applyAlignment="1">
      <alignment horizontal="center" vertical="center"/>
    </xf>
    <xf numFmtId="0" fontId="3" fillId="2" borderId="0" xfId="0" applyFont="1" applyFill="1" applyAlignment="1">
      <alignment horizontal="center" vertical="center"/>
    </xf>
    <xf numFmtId="0" fontId="10" fillId="5" borderId="0" xfId="11" applyFont="1" applyFill="1" applyAlignment="1">
      <alignment horizontal="center" vertical="center"/>
    </xf>
    <xf numFmtId="0" fontId="10" fillId="7" borderId="0" xfId="0" applyFont="1" applyFill="1" applyAlignment="1">
      <alignment horizontal="center" vertical="center"/>
    </xf>
    <xf numFmtId="14" fontId="3" fillId="0" borderId="0" xfId="9" applyNumberFormat="1" applyFont="1" applyFill="1" applyBorder="1" applyAlignment="1">
      <alignment horizontal="left" vertical="center"/>
    </xf>
    <xf numFmtId="14" fontId="3" fillId="0" borderId="0" xfId="0" applyNumberFormat="1" applyFont="1" applyAlignment="1">
      <alignment horizontal="center"/>
    </xf>
  </cellXfs>
  <cellStyles count="50">
    <cellStyle name="20 % - Accent1" xfId="28" builtinId="30" customBuiltin="1"/>
    <cellStyle name="20 % - Accent2" xfId="32" builtinId="34" customBuiltin="1"/>
    <cellStyle name="20 % - Accent3" xfId="35" builtinId="38" customBuiltin="1"/>
    <cellStyle name="20 % - Accent4" xfId="39" builtinId="42" customBuiltin="1"/>
    <cellStyle name="20 % - Accent5" xfId="43" builtinId="46" customBuiltin="1"/>
    <cellStyle name="20 % - Accent6" xfId="47" builtinId="50" customBuiltin="1"/>
    <cellStyle name="40 % - Accent1" xfId="29" builtinId="31" customBuiltin="1"/>
    <cellStyle name="40 % - Accent2" xfId="33" builtinId="35" customBuiltin="1"/>
    <cellStyle name="40 % - Accent3" xfId="36" builtinId="39" customBuiltin="1"/>
    <cellStyle name="40 % - Accent4" xfId="40" builtinId="43" customBuiltin="1"/>
    <cellStyle name="40 % - Accent5" xfId="44" builtinId="47" customBuiltin="1"/>
    <cellStyle name="40 % - Accent6" xfId="48" builtinId="51" customBuiltin="1"/>
    <cellStyle name="60 % - Accent1" xfId="30" builtinId="32" customBuiltin="1"/>
    <cellStyle name="60 % - Accent2" xfId="34" builtinId="36" customBuiltin="1"/>
    <cellStyle name="60 % - Accent3" xfId="37" builtinId="40" customBuiltin="1"/>
    <cellStyle name="60 % - Accent4" xfId="41" builtinId="44" customBuiltin="1"/>
    <cellStyle name="60 % - Accent5" xfId="45" builtinId="48" customBuiltin="1"/>
    <cellStyle name="60 % - Accent6" xfId="49" builtinId="52" customBuiltin="1"/>
    <cellStyle name="Accent1" xfId="27" builtinId="29" customBuiltin="1"/>
    <cellStyle name="Accent2" xfId="31" builtinId="33" customBuiltin="1"/>
    <cellStyle name="Accent3" xfId="11" builtinId="37" customBuiltin="1"/>
    <cellStyle name="Accent4" xfId="38" builtinId="41" customBuiltin="1"/>
    <cellStyle name="Accent5" xfId="42" builtinId="45" customBuiltin="1"/>
    <cellStyle name="Accent6" xfId="46" builtinId="49" customBuiltin="1"/>
    <cellStyle name="Avertissement" xfId="23" builtinId="11" customBuiltin="1"/>
    <cellStyle name="Calcul" xfId="20" builtinId="22" customBuiltin="1"/>
    <cellStyle name="Cellule liée" xfId="21" builtinId="24" customBuiltin="1"/>
    <cellStyle name="Date" xfId="9" xr:uid="{229918B6-DD13-4F5A-97B9-305F7E002AA3}"/>
    <cellStyle name="Entrée" xfId="18" builtinId="20" customBuiltin="1"/>
    <cellStyle name="Insatisfaisant" xfId="16" builtinId="27" customBuiltin="1"/>
    <cellStyle name="Lien hypertexte" xfId="1" builtinId="8" customBuiltin="1"/>
    <cellStyle name="Milliers" xfId="4" builtinId="3" customBuiltin="1"/>
    <cellStyle name="Milliers [0]" xfId="10" builtinId="6" customBuiltin="1"/>
    <cellStyle name="Monétaire" xfId="12" builtinId="4" customBuiltin="1"/>
    <cellStyle name="Monétaire [0]" xfId="13" builtinId="7" customBuiltin="1"/>
    <cellStyle name="Neutre" xfId="17" builtinId="28" customBuiltin="1"/>
    <cellStyle name="Normal" xfId="0" builtinId="0" customBuiltin="1"/>
    <cellStyle name="Note" xfId="24" builtinId="10" customBuiltin="1"/>
    <cellStyle name="Pourcentage" xfId="2" builtinId="5" customBuiltin="1"/>
    <cellStyle name="Satisfaisant" xfId="15" builtinId="26" customBuiltin="1"/>
    <cellStyle name="Sortie" xfId="19" builtinId="21" customBuiltin="1"/>
    <cellStyle name="Texte explicatif" xfId="25" builtinId="53" customBuiltin="1"/>
    <cellStyle name="Titre" xfId="5" builtinId="15" customBuiltin="1"/>
    <cellStyle name="Titre 1" xfId="6" builtinId="16" customBuiltin="1"/>
    <cellStyle name="Titre 2" xfId="7" builtinId="17" customBuiltin="1"/>
    <cellStyle name="Titre 3" xfId="8" builtinId="18" customBuiltin="1"/>
    <cellStyle name="Titre 4" xfId="14" builtinId="19" customBuiltin="1"/>
    <cellStyle name="Total" xfId="26" builtinId="25" customBuiltin="1"/>
    <cellStyle name="Vérification" xfId="22" builtinId="23" customBuiltin="1"/>
    <cellStyle name="zTexteMasqué" xfId="3" xr:uid="{26E66EE6-E33F-4D77-BAE4-0FB4F5BBF673}"/>
  </cellStyles>
  <dxfs count="31">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Style de tableau Gantt" pivot="0" count="4" xr9:uid="{4904D139-63E4-4221-B7C9-C6C5B7A50FAF}">
      <tableStyleElement type="wholeTable" dxfId="30"/>
      <tableStyleElement type="headerRow" dxfId="29"/>
      <tableStyleElement type="firstRowStripe" dxfId="28"/>
      <tableStyleElement type="secondRowStripe" dxfId="27"/>
    </tableStyle>
    <tableStyle name="ListeDesTâches"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Jalons4352" displayName="Jalons4352" ref="B9:G29" totalsRowShown="0" headerRowDxfId="17" dataDxfId="16">
  <autoFilter ref="B9:G29"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ption du jalon" dataDxfId="15"/>
    <tableColumn id="2" xr3:uid="{39BD914E-FB02-4352-846C-6D59624DC0B0}" name="Catégorie" dataDxfId="14"/>
    <tableColumn id="3" xr3:uid="{D274194F-BCA0-44F3-84B2-217254EE241C}" name="Attribué à" dataDxfId="13"/>
    <tableColumn id="4" xr3:uid="{8385BC6F-56EE-4363-A106-8DB0A1E4EF5A}" name="Progression" dataDxfId="12"/>
    <tableColumn id="5" xr3:uid="{02926609-7B93-4B6F-BE96-92EC7A949E4B}" name="Début" dataDxfId="11" dataCellStyle="Date"/>
    <tableColumn id="6" xr3:uid="{8FF9BE8E-04B7-4B39-AC27-D2E534204BC3}" name="Jours" dataDxfId="10"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AL29"/>
  <sheetViews>
    <sheetView showGridLines="0" tabSelected="1" showRuler="0" zoomScaleNormal="100" zoomScalePageLayoutView="70" workbookViewId="0">
      <selection activeCell="B12" sqref="B12"/>
    </sheetView>
  </sheetViews>
  <sheetFormatPr baseColWidth="10" defaultColWidth="9.140625" defaultRowHeight="30" customHeight="1" x14ac:dyDescent="0.25"/>
  <cols>
    <col min="1" max="1" width="4.7109375" style="3" customWidth="1"/>
    <col min="2" max="2" width="35.5703125" customWidth="1"/>
    <col min="3" max="3" width="14.85546875" customWidth="1"/>
    <col min="4" max="4" width="20.5703125" customWidth="1"/>
    <col min="5" max="5" width="15.7109375" customWidth="1"/>
    <col min="6" max="6" width="10.42578125" style="2" customWidth="1"/>
    <col min="7" max="7" width="10.42578125" customWidth="1"/>
    <col min="8" max="8" width="2.7109375" customWidth="1"/>
    <col min="9" max="37" width="3.5703125" customWidth="1"/>
  </cols>
  <sheetData>
    <row r="1" spans="1:38" ht="25.15" customHeight="1" x14ac:dyDescent="0.25"/>
    <row r="2" spans="1:38" ht="49.9" customHeight="1" x14ac:dyDescent="0.25">
      <c r="A2" s="4"/>
      <c r="B2" s="50" t="s">
        <v>17</v>
      </c>
      <c r="C2" s="50"/>
      <c r="D2" s="50"/>
      <c r="E2" s="50"/>
      <c r="F2" s="50"/>
      <c r="G2" s="50"/>
      <c r="H2" s="50"/>
      <c r="I2" s="51"/>
      <c r="J2" s="51"/>
      <c r="K2" s="51"/>
      <c r="L2" s="51"/>
      <c r="M2" s="51"/>
      <c r="N2" s="51"/>
      <c r="O2" s="52"/>
      <c r="P2" s="52"/>
      <c r="Q2" s="52"/>
      <c r="R2" s="52"/>
      <c r="S2" s="52"/>
      <c r="T2" s="52"/>
      <c r="U2" s="18"/>
      <c r="V2" s="18"/>
      <c r="W2" s="18"/>
      <c r="X2" s="18"/>
      <c r="Y2" s="18"/>
      <c r="Z2" s="18"/>
      <c r="AA2" s="18"/>
      <c r="AB2" s="18"/>
      <c r="AC2" s="18"/>
      <c r="AD2" s="18"/>
      <c r="AE2" s="18"/>
      <c r="AF2" s="18"/>
      <c r="AG2" s="18"/>
      <c r="AH2" s="18"/>
      <c r="AI2" s="18"/>
      <c r="AJ2" s="18"/>
      <c r="AK2" s="18"/>
    </row>
    <row r="3" spans="1:38" ht="19.899999999999999" customHeight="1" x14ac:dyDescent="0.25">
      <c r="A3" s="4"/>
      <c r="B3" s="19"/>
      <c r="C3" s="20"/>
      <c r="D3" s="21"/>
      <c r="E3" s="21"/>
      <c r="F3" s="22"/>
      <c r="G3" s="21"/>
      <c r="H3" s="21"/>
      <c r="I3" s="33"/>
      <c r="J3" s="1"/>
      <c r="K3" s="1"/>
      <c r="L3" s="1"/>
    </row>
    <row r="4" spans="1:38" ht="30" customHeight="1" x14ac:dyDescent="0.25">
      <c r="A4" s="4"/>
      <c r="B4" s="28" t="s">
        <v>18</v>
      </c>
      <c r="C4" s="23"/>
      <c r="D4" s="24"/>
      <c r="E4" s="25"/>
      <c r="F4" s="26"/>
      <c r="G4" s="27" t="s">
        <v>0</v>
      </c>
      <c r="H4" s="25"/>
      <c r="I4" s="53" t="s">
        <v>1</v>
      </c>
      <c r="J4" s="53"/>
      <c r="K4" s="53"/>
      <c r="L4" s="53"/>
      <c r="M4" s="53"/>
      <c r="O4" s="54" t="s">
        <v>2</v>
      </c>
      <c r="P4" s="54"/>
      <c r="Q4" s="54"/>
      <c r="R4" s="54"/>
      <c r="S4" s="54"/>
      <c r="U4" s="47" t="s">
        <v>3</v>
      </c>
      <c r="V4" s="47"/>
      <c r="W4" s="47"/>
      <c r="X4" s="47"/>
      <c r="Y4" s="47"/>
      <c r="AA4" s="48" t="s">
        <v>4</v>
      </c>
      <c r="AB4" s="48"/>
      <c r="AC4" s="48"/>
      <c r="AD4" s="48"/>
      <c r="AE4" s="48"/>
      <c r="AG4" s="49" t="s">
        <v>5</v>
      </c>
      <c r="AH4" s="49"/>
      <c r="AI4" s="49"/>
      <c r="AJ4" s="49"/>
      <c r="AK4" s="49"/>
    </row>
    <row r="5" spans="1:38" ht="30" customHeight="1" x14ac:dyDescent="0.25">
      <c r="A5" s="4"/>
      <c r="B5" s="28"/>
      <c r="C5" s="24"/>
      <c r="D5" s="24"/>
      <c r="E5" s="25"/>
      <c r="F5" s="26"/>
      <c r="G5" s="25"/>
      <c r="H5" s="25"/>
    </row>
    <row r="6" spans="1:38" ht="30" customHeight="1" x14ac:dyDescent="0.25">
      <c r="A6" s="4"/>
      <c r="B6" s="29" t="s">
        <v>6</v>
      </c>
      <c r="C6" s="55">
        <v>46041</v>
      </c>
      <c r="D6" s="30" t="s">
        <v>19</v>
      </c>
      <c r="E6" s="25"/>
      <c r="F6" s="56">
        <v>46063</v>
      </c>
      <c r="G6" s="25"/>
      <c r="H6" s="25"/>
      <c r="I6" s="35" t="str">
        <f ca="1">TEXT(I7,"mmmm")</f>
        <v>janvier</v>
      </c>
      <c r="J6" s="35"/>
      <c r="K6" s="35"/>
      <c r="L6" s="35"/>
      <c r="M6" s="35"/>
      <c r="N6" s="35"/>
      <c r="O6" s="35"/>
      <c r="P6" s="35" t="str">
        <f ca="1">IF(TEXT(P7,"mmmm")=I6,"",TEXT(P7,"mmmm"))</f>
        <v/>
      </c>
      <c r="Q6" s="35"/>
      <c r="R6" s="35"/>
      <c r="S6" s="35"/>
      <c r="T6" s="35"/>
      <c r="U6" s="35"/>
      <c r="V6" s="35"/>
      <c r="W6" s="35" t="str">
        <f ca="1">IF(OR(TEXT(W7,"mmmm")=P6,TEXT(W7,"mmmm")=I6),"",TEXT(W7,"mmmm"))</f>
        <v>février</v>
      </c>
      <c r="X6" s="35"/>
      <c r="Y6" s="35"/>
      <c r="Z6" s="35"/>
      <c r="AA6" s="35"/>
      <c r="AB6" s="35"/>
      <c r="AC6" s="35"/>
      <c r="AD6" s="35" t="str">
        <f ca="1">IF(OR(TEXT(AD7,"mmmm")=W6,TEXT(AD7,"mmmm")=P6,TEXT(AD7,"mmmm")=I6),"",TEXT(AD7,"mmmm"))</f>
        <v/>
      </c>
      <c r="AE6" s="35"/>
      <c r="AF6" s="35"/>
      <c r="AG6" s="35"/>
      <c r="AH6" s="35"/>
      <c r="AI6" s="35"/>
      <c r="AJ6" s="35"/>
      <c r="AK6" s="35" t="str">
        <f ca="1">IF(OR(TEXT(AK7,"mmmm")=AD6,TEXT(AK7,"mmmm")=W6,TEXT(AK7,"mmmm")=P6,TEXT(AK7,"mmmm")=I6),"",TEXT(AK7,"mmmm"))</f>
        <v/>
      </c>
    </row>
    <row r="7" spans="1:38" ht="30" customHeight="1" x14ac:dyDescent="0.25">
      <c r="A7" s="4"/>
      <c r="B7" s="29" t="s">
        <v>7</v>
      </c>
      <c r="C7" s="31">
        <v>1</v>
      </c>
      <c r="D7" s="24"/>
      <c r="E7" s="25"/>
      <c r="F7" s="25"/>
      <c r="G7" s="25"/>
      <c r="H7" s="32"/>
      <c r="I7" s="40">
        <f ca="1">IFERROR(Début_Projet+Incrément_de_défilement,TODAY())</f>
        <v>46042</v>
      </c>
      <c r="J7" s="41">
        <f ca="1">I7+1</f>
        <v>46043</v>
      </c>
      <c r="K7" s="41">
        <f t="shared" ref="K7:AJ7" ca="1" si="0">J7+1</f>
        <v>46044</v>
      </c>
      <c r="L7" s="41">
        <f t="shared" ca="1" si="0"/>
        <v>46045</v>
      </c>
      <c r="M7" s="41">
        <f t="shared" ca="1" si="0"/>
        <v>46046</v>
      </c>
      <c r="N7" s="41">
        <f t="shared" ca="1" si="0"/>
        <v>46047</v>
      </c>
      <c r="O7" s="42">
        <f t="shared" ca="1" si="0"/>
        <v>46048</v>
      </c>
      <c r="P7" s="41">
        <f ca="1">O7+1</f>
        <v>46049</v>
      </c>
      <c r="Q7" s="41">
        <f ca="1">P7+1</f>
        <v>46050</v>
      </c>
      <c r="R7" s="41">
        <f t="shared" ca="1" si="0"/>
        <v>46051</v>
      </c>
      <c r="S7" s="41">
        <f t="shared" ca="1" si="0"/>
        <v>46052</v>
      </c>
      <c r="T7" s="41">
        <f t="shared" ca="1" si="0"/>
        <v>46053</v>
      </c>
      <c r="U7" s="41">
        <f t="shared" ca="1" si="0"/>
        <v>46054</v>
      </c>
      <c r="V7" s="42">
        <f t="shared" ca="1" si="0"/>
        <v>46055</v>
      </c>
      <c r="W7" s="41">
        <f ca="1">V7+1</f>
        <v>46056</v>
      </c>
      <c r="X7" s="41">
        <f ca="1">W7+1</f>
        <v>46057</v>
      </c>
      <c r="Y7" s="41">
        <f t="shared" ca="1" si="0"/>
        <v>46058</v>
      </c>
      <c r="Z7" s="41">
        <f t="shared" ca="1" si="0"/>
        <v>46059</v>
      </c>
      <c r="AA7" s="41">
        <f t="shared" ca="1" si="0"/>
        <v>46060</v>
      </c>
      <c r="AB7" s="41">
        <f t="shared" ca="1" si="0"/>
        <v>46061</v>
      </c>
      <c r="AC7" s="42">
        <f t="shared" ca="1" si="0"/>
        <v>46062</v>
      </c>
      <c r="AD7" s="41">
        <f ca="1">AC7+1</f>
        <v>46063</v>
      </c>
      <c r="AE7" s="41">
        <f ca="1">AD7+1</f>
        <v>46064</v>
      </c>
      <c r="AF7" s="41">
        <f t="shared" ca="1" si="0"/>
        <v>46065</v>
      </c>
      <c r="AG7" s="41">
        <f t="shared" ca="1" si="0"/>
        <v>46066</v>
      </c>
      <c r="AH7" s="41">
        <f t="shared" ca="1" si="0"/>
        <v>46067</v>
      </c>
      <c r="AI7" s="41">
        <f t="shared" ca="1" si="0"/>
        <v>46068</v>
      </c>
      <c r="AJ7" s="42">
        <f t="shared" ca="1" si="0"/>
        <v>46069</v>
      </c>
      <c r="AK7" s="41">
        <f ca="1">AJ7+1</f>
        <v>46070</v>
      </c>
    </row>
    <row r="8" spans="1:38" ht="19.899999999999999" customHeight="1" x14ac:dyDescent="0.25">
      <c r="A8" s="4"/>
      <c r="B8" s="24"/>
      <c r="C8" s="24"/>
      <c r="D8" s="24"/>
      <c r="E8" s="25"/>
      <c r="F8" s="25"/>
      <c r="G8" s="25"/>
      <c r="H8" s="32"/>
      <c r="I8" s="43"/>
      <c r="J8" s="44"/>
      <c r="K8" s="44"/>
      <c r="L8" s="44"/>
      <c r="M8" s="44"/>
      <c r="N8" s="44"/>
      <c r="O8" s="44"/>
      <c r="P8" s="45"/>
      <c r="Q8" s="44"/>
      <c r="R8" s="44"/>
      <c r="S8" s="44"/>
      <c r="T8" s="44"/>
      <c r="U8" s="44"/>
      <c r="V8" s="46"/>
      <c r="W8" s="44"/>
      <c r="X8" s="44"/>
      <c r="Y8" s="44"/>
      <c r="Z8" s="44"/>
      <c r="AA8" s="44"/>
      <c r="AB8" s="44"/>
      <c r="AC8" s="46"/>
      <c r="AD8" s="44"/>
      <c r="AE8" s="44"/>
      <c r="AF8" s="44"/>
      <c r="AG8" s="44"/>
      <c r="AH8" s="44"/>
      <c r="AI8" s="44"/>
      <c r="AJ8" s="46"/>
      <c r="AK8" s="44"/>
    </row>
    <row r="9" spans="1:38" ht="40.15" customHeight="1" x14ac:dyDescent="0.25">
      <c r="A9" s="4"/>
      <c r="B9" s="37" t="s">
        <v>8</v>
      </c>
      <c r="C9" s="38" t="s">
        <v>9</v>
      </c>
      <c r="D9" s="38" t="s">
        <v>10</v>
      </c>
      <c r="E9" s="38" t="s">
        <v>11</v>
      </c>
      <c r="F9" s="38" t="s">
        <v>12</v>
      </c>
      <c r="G9" s="38" t="s">
        <v>13</v>
      </c>
      <c r="H9" s="34"/>
      <c r="I9" s="36" t="str">
        <f t="shared" ref="I9:AK9" ca="1" si="1">LEFT(TEXT(I7,"jjj"),1)</f>
        <v>m</v>
      </c>
      <c r="J9" s="36" t="str">
        <f t="shared" ca="1" si="1"/>
        <v>m</v>
      </c>
      <c r="K9" s="36" t="str">
        <f t="shared" ca="1" si="1"/>
        <v>j</v>
      </c>
      <c r="L9" s="36" t="str">
        <f t="shared" ca="1" si="1"/>
        <v>v</v>
      </c>
      <c r="M9" s="36" t="str">
        <f t="shared" ca="1" si="1"/>
        <v>s</v>
      </c>
      <c r="N9" s="36" t="str">
        <f t="shared" ca="1" si="1"/>
        <v>d</v>
      </c>
      <c r="O9" s="36" t="str">
        <f t="shared" ca="1" si="1"/>
        <v>l</v>
      </c>
      <c r="P9" s="36" t="str">
        <f t="shared" ca="1" si="1"/>
        <v>m</v>
      </c>
      <c r="Q9" s="36" t="str">
        <f t="shared" ca="1" si="1"/>
        <v>m</v>
      </c>
      <c r="R9" s="36" t="str">
        <f t="shared" ca="1" si="1"/>
        <v>j</v>
      </c>
      <c r="S9" s="36" t="str">
        <f t="shared" ca="1" si="1"/>
        <v>v</v>
      </c>
      <c r="T9" s="36" t="str">
        <f t="shared" ca="1" si="1"/>
        <v>s</v>
      </c>
      <c r="U9" s="36" t="str">
        <f t="shared" ca="1" si="1"/>
        <v>d</v>
      </c>
      <c r="V9" s="36" t="str">
        <f t="shared" ca="1" si="1"/>
        <v>l</v>
      </c>
      <c r="W9" s="36" t="str">
        <f t="shared" ca="1" si="1"/>
        <v>m</v>
      </c>
      <c r="X9" s="36" t="str">
        <f t="shared" ca="1" si="1"/>
        <v>m</v>
      </c>
      <c r="Y9" s="36" t="str">
        <f t="shared" ca="1" si="1"/>
        <v>j</v>
      </c>
      <c r="Z9" s="36" t="str">
        <f t="shared" ca="1" si="1"/>
        <v>v</v>
      </c>
      <c r="AA9" s="36" t="str">
        <f t="shared" ca="1" si="1"/>
        <v>s</v>
      </c>
      <c r="AB9" s="36" t="str">
        <f t="shared" ca="1" si="1"/>
        <v>d</v>
      </c>
      <c r="AC9" s="36" t="str">
        <f t="shared" ca="1" si="1"/>
        <v>l</v>
      </c>
      <c r="AD9" s="36" t="str">
        <f t="shared" ca="1" si="1"/>
        <v>m</v>
      </c>
      <c r="AE9" s="36" t="str">
        <f t="shared" ca="1" si="1"/>
        <v>m</v>
      </c>
      <c r="AF9" s="36" t="str">
        <f t="shared" ca="1" si="1"/>
        <v>j</v>
      </c>
      <c r="AG9" s="36" t="str">
        <f t="shared" ca="1" si="1"/>
        <v>v</v>
      </c>
      <c r="AH9" s="36" t="str">
        <f t="shared" ca="1" si="1"/>
        <v>s</v>
      </c>
      <c r="AI9" s="36" t="str">
        <f t="shared" ca="1" si="1"/>
        <v>d</v>
      </c>
      <c r="AJ9" s="36" t="str">
        <f t="shared" ca="1" si="1"/>
        <v>l</v>
      </c>
      <c r="AK9" s="36" t="str">
        <f t="shared" ca="1" si="1"/>
        <v>m</v>
      </c>
    </row>
    <row r="10" spans="1:38" ht="30" hidden="1" customHeight="1" x14ac:dyDescent="0.25">
      <c r="B10" s="9"/>
      <c r="C10" s="6"/>
      <c r="D10" s="5"/>
      <c r="E10" s="6"/>
      <c r="F10" s="7"/>
      <c r="G10" s="8"/>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row>
    <row r="11" spans="1:38" s="1" customFormat="1" ht="40.15" customHeight="1" x14ac:dyDescent="0.25">
      <c r="A11" s="4"/>
      <c r="B11" s="39" t="s">
        <v>21</v>
      </c>
      <c r="C11" s="13"/>
      <c r="D11" s="13"/>
      <c r="E11" s="14"/>
      <c r="F11" s="15"/>
      <c r="G11" s="16"/>
      <c r="H11" s="13"/>
      <c r="I11" s="10" t="str">
        <f t="shared" ref="I11:X13" ca="1" si="2">IF(AND($C11="Objectif",I$7&gt;=$F11,I$7&lt;=$F11+$G11-1),2,IF(AND($C11="Jalon",I$7&gt;=$F11,I$7&lt;=$F11+$G11-1),1,""))</f>
        <v/>
      </c>
      <c r="J11" s="10" t="str">
        <f t="shared" ca="1" si="2"/>
        <v/>
      </c>
      <c r="K11" s="10" t="str">
        <f t="shared" ca="1" si="2"/>
        <v/>
      </c>
      <c r="L11" s="10" t="str">
        <f t="shared" ca="1" si="2"/>
        <v/>
      </c>
      <c r="M11" s="10" t="str">
        <f t="shared" ca="1" si="2"/>
        <v/>
      </c>
      <c r="N11" s="10" t="str">
        <f t="shared" ca="1" si="2"/>
        <v/>
      </c>
      <c r="O11" s="10" t="str">
        <f t="shared" ca="1" si="2"/>
        <v/>
      </c>
      <c r="P11" s="10" t="str">
        <f t="shared" ca="1" si="2"/>
        <v/>
      </c>
      <c r="Q11" s="10" t="str">
        <f t="shared" ca="1" si="2"/>
        <v/>
      </c>
      <c r="R11" s="10" t="str">
        <f t="shared" ca="1" si="2"/>
        <v/>
      </c>
      <c r="S11" s="10" t="str">
        <f t="shared" ca="1" si="2"/>
        <v/>
      </c>
      <c r="T11" s="10" t="str">
        <f t="shared" ca="1" si="2"/>
        <v/>
      </c>
      <c r="U11" s="10" t="str">
        <f t="shared" ca="1" si="2"/>
        <v/>
      </c>
      <c r="V11" s="10" t="str">
        <f t="shared" ca="1" si="2"/>
        <v/>
      </c>
      <c r="W11" s="10" t="str">
        <f t="shared" ca="1" si="2"/>
        <v/>
      </c>
      <c r="X11" s="10" t="str">
        <f t="shared" ca="1" si="2"/>
        <v/>
      </c>
      <c r="Y11" s="10" t="str">
        <f t="shared" ref="Y11:AK13" ca="1" si="3">IF(AND($C11="Objectif",Y$7&gt;=$F11,Y$7&lt;=$F11+$G11-1),2,IF(AND($C11="Jalon",Y$7&gt;=$F11,Y$7&lt;=$F11+$G11-1),1,""))</f>
        <v/>
      </c>
      <c r="Z11" s="10" t="str">
        <f t="shared" ca="1" si="3"/>
        <v/>
      </c>
      <c r="AA11" s="10" t="str">
        <f t="shared" ca="1" si="3"/>
        <v/>
      </c>
      <c r="AB11" s="10" t="str">
        <f t="shared" ca="1" si="3"/>
        <v/>
      </c>
      <c r="AC11" s="10" t="str">
        <f t="shared" ca="1" si="3"/>
        <v/>
      </c>
      <c r="AD11" s="10" t="str">
        <f t="shared" ca="1" si="3"/>
        <v/>
      </c>
      <c r="AE11" s="10" t="str">
        <f t="shared" ca="1" si="3"/>
        <v/>
      </c>
      <c r="AF11" s="10" t="str">
        <f t="shared" ca="1" si="3"/>
        <v/>
      </c>
      <c r="AG11" s="10" t="str">
        <f t="shared" ca="1" si="3"/>
        <v/>
      </c>
      <c r="AH11" s="10" t="str">
        <f t="shared" ca="1" si="3"/>
        <v/>
      </c>
      <c r="AI11" s="10" t="str">
        <f t="shared" ca="1" si="3"/>
        <v/>
      </c>
      <c r="AJ11" s="10" t="str">
        <f t="shared" ca="1" si="3"/>
        <v/>
      </c>
      <c r="AK11" s="10" t="str">
        <f t="shared" ca="1" si="3"/>
        <v/>
      </c>
      <c r="AL11" s="12"/>
    </row>
    <row r="12" spans="1:38" s="1" customFormat="1" ht="40.15" customHeight="1" x14ac:dyDescent="0.25">
      <c r="A12" s="4"/>
      <c r="B12" s="17" t="s">
        <v>20</v>
      </c>
      <c r="C12" s="13" t="s">
        <v>14</v>
      </c>
      <c r="D12" s="13" t="s">
        <v>15</v>
      </c>
      <c r="E12" s="14">
        <v>0.1</v>
      </c>
      <c r="F12" s="15">
        <f ca="1">TODAY()</f>
        <v>46041</v>
      </c>
      <c r="G12" s="16">
        <v>5</v>
      </c>
      <c r="H12" s="13"/>
      <c r="I12" s="10">
        <f ca="1">IF(AND($C12="Objectif",I$7&gt;=$F12,I$7&lt;=$F12+$G12-1),2,IF(AND($C12="Jalon",I$7&gt;=$F12,I$7&lt;=$F12+$G12-1),1,""))</f>
        <v>2</v>
      </c>
      <c r="J12" s="10">
        <f t="shared" ca="1" si="2"/>
        <v>2</v>
      </c>
      <c r="K12" s="10">
        <f t="shared" ca="1" si="2"/>
        <v>2</v>
      </c>
      <c r="L12" s="10">
        <f t="shared" ca="1" si="2"/>
        <v>2</v>
      </c>
      <c r="M12" s="10" t="str">
        <f t="shared" ca="1" si="2"/>
        <v/>
      </c>
      <c r="N12" s="10" t="str">
        <f t="shared" ca="1" si="2"/>
        <v/>
      </c>
      <c r="O12" s="10" t="str">
        <f t="shared" ca="1" si="2"/>
        <v/>
      </c>
      <c r="P12" s="10" t="str">
        <f t="shared" ca="1" si="2"/>
        <v/>
      </c>
      <c r="Q12" s="10" t="str">
        <f t="shared" ca="1" si="2"/>
        <v/>
      </c>
      <c r="R12" s="10" t="str">
        <f t="shared" ca="1" si="2"/>
        <v/>
      </c>
      <c r="S12" s="10" t="str">
        <f t="shared" ca="1" si="2"/>
        <v/>
      </c>
      <c r="T12" s="10" t="str">
        <f t="shared" ca="1" si="2"/>
        <v/>
      </c>
      <c r="U12" s="10" t="str">
        <f t="shared" ca="1" si="2"/>
        <v/>
      </c>
      <c r="V12" s="10" t="str">
        <f t="shared" ca="1" si="2"/>
        <v/>
      </c>
      <c r="W12" s="10" t="str">
        <f t="shared" ca="1" si="2"/>
        <v/>
      </c>
      <c r="X12" s="10" t="str">
        <f t="shared" ca="1" si="2"/>
        <v/>
      </c>
      <c r="Y12" s="10" t="str">
        <f t="shared" ca="1" si="3"/>
        <v/>
      </c>
      <c r="Z12" s="10" t="str">
        <f t="shared" ca="1" si="3"/>
        <v/>
      </c>
      <c r="AA12" s="10" t="str">
        <f t="shared" ca="1" si="3"/>
        <v/>
      </c>
      <c r="AB12" s="10" t="str">
        <f t="shared" ca="1" si="3"/>
        <v/>
      </c>
      <c r="AC12" s="10" t="str">
        <f t="shared" ca="1" si="3"/>
        <v/>
      </c>
      <c r="AD12" s="10" t="str">
        <f t="shared" ca="1" si="3"/>
        <v/>
      </c>
      <c r="AE12" s="10" t="str">
        <f t="shared" ca="1" si="3"/>
        <v/>
      </c>
      <c r="AF12" s="10" t="str">
        <f t="shared" ca="1" si="3"/>
        <v/>
      </c>
      <c r="AG12" s="10" t="str">
        <f t="shared" ca="1" si="3"/>
        <v/>
      </c>
      <c r="AH12" s="10" t="str">
        <f t="shared" ca="1" si="3"/>
        <v/>
      </c>
      <c r="AI12" s="10" t="str">
        <f t="shared" ca="1" si="3"/>
        <v/>
      </c>
      <c r="AJ12" s="10" t="str">
        <f t="shared" ca="1" si="3"/>
        <v/>
      </c>
      <c r="AK12" s="10" t="str">
        <f t="shared" ca="1" si="3"/>
        <v/>
      </c>
    </row>
    <row r="13" spans="1:38" s="1" customFormat="1" ht="40.15" customHeight="1" x14ac:dyDescent="0.25">
      <c r="A13" s="4"/>
      <c r="B13" s="17" t="s">
        <v>28</v>
      </c>
      <c r="C13" s="13" t="s">
        <v>16</v>
      </c>
      <c r="D13" s="13"/>
      <c r="E13" s="14">
        <v>0</v>
      </c>
      <c r="F13" s="15">
        <f ca="1">F12+5</f>
        <v>46046</v>
      </c>
      <c r="G13" s="16">
        <v>1</v>
      </c>
      <c r="H13" s="13"/>
      <c r="I13" s="10" t="str">
        <f t="shared" ref="I13" ca="1" si="4">IF(AND($C13="Objectif",I$7&gt;=$F13,I$7&lt;=$F13+$G13-1),2,IF(AND($C13="Jalon",I$7&gt;=$F13,I$7&lt;=$F13+$G13-1),1,""))</f>
        <v/>
      </c>
      <c r="J13" s="10" t="str">
        <f t="shared" ca="1" si="2"/>
        <v/>
      </c>
      <c r="K13" s="10" t="str">
        <f t="shared" ca="1" si="2"/>
        <v/>
      </c>
      <c r="L13" s="10" t="str">
        <f t="shared" ca="1" si="2"/>
        <v/>
      </c>
      <c r="M13" s="10">
        <f t="shared" ca="1" si="2"/>
        <v>1</v>
      </c>
      <c r="N13" s="10" t="str">
        <f t="shared" ca="1" si="2"/>
        <v/>
      </c>
      <c r="O13" s="10" t="str">
        <f t="shared" ca="1" si="2"/>
        <v/>
      </c>
      <c r="P13" s="10" t="str">
        <f t="shared" ca="1" si="2"/>
        <v/>
      </c>
      <c r="Q13" s="10" t="str">
        <f t="shared" ca="1" si="2"/>
        <v/>
      </c>
      <c r="R13" s="10" t="str">
        <f t="shared" ca="1" si="2"/>
        <v/>
      </c>
      <c r="S13" s="10" t="str">
        <f t="shared" ca="1" si="2"/>
        <v/>
      </c>
      <c r="T13" s="10" t="str">
        <f t="shared" ca="1" si="2"/>
        <v/>
      </c>
      <c r="U13" s="10" t="str">
        <f t="shared" ca="1" si="2"/>
        <v/>
      </c>
      <c r="V13" s="10" t="str">
        <f t="shared" ca="1" si="2"/>
        <v/>
      </c>
      <c r="W13" s="10" t="str">
        <f t="shared" ca="1" si="2"/>
        <v/>
      </c>
      <c r="X13" s="10" t="str">
        <f t="shared" ca="1" si="2"/>
        <v/>
      </c>
      <c r="Y13" s="10" t="str">
        <f t="shared" ca="1" si="3"/>
        <v/>
      </c>
      <c r="Z13" s="10" t="str">
        <f t="shared" ca="1" si="3"/>
        <v/>
      </c>
      <c r="AA13" s="10" t="str">
        <f t="shared" ca="1" si="3"/>
        <v/>
      </c>
      <c r="AB13" s="10" t="str">
        <f t="shared" ca="1" si="3"/>
        <v/>
      </c>
      <c r="AC13" s="10" t="str">
        <f t="shared" ca="1" si="3"/>
        <v/>
      </c>
      <c r="AD13" s="10" t="str">
        <f t="shared" ca="1" si="3"/>
        <v/>
      </c>
      <c r="AE13" s="10" t="str">
        <f t="shared" ca="1" si="3"/>
        <v/>
      </c>
      <c r="AF13" s="10" t="str">
        <f t="shared" ca="1" si="3"/>
        <v/>
      </c>
      <c r="AG13" s="10" t="str">
        <f t="shared" ca="1" si="3"/>
        <v/>
      </c>
      <c r="AH13" s="10" t="str">
        <f t="shared" ca="1" si="3"/>
        <v/>
      </c>
      <c r="AI13" s="10" t="str">
        <f t="shared" ca="1" si="3"/>
        <v/>
      </c>
      <c r="AJ13" s="10" t="str">
        <f t="shared" ca="1" si="3"/>
        <v/>
      </c>
      <c r="AK13" s="10" t="str">
        <f t="shared" ca="1" si="3"/>
        <v/>
      </c>
    </row>
    <row r="14" spans="1:38" s="1" customFormat="1" ht="40.15" customHeight="1" x14ac:dyDescent="0.25">
      <c r="A14" s="3"/>
      <c r="B14" s="17" t="s">
        <v>27</v>
      </c>
      <c r="C14" s="13" t="s">
        <v>14</v>
      </c>
      <c r="D14" s="13"/>
      <c r="E14" s="14">
        <v>0.2</v>
      </c>
      <c r="F14" s="15">
        <f ca="1">F12+3</f>
        <v>46044</v>
      </c>
      <c r="G14" s="16">
        <v>4</v>
      </c>
      <c r="H14" s="13"/>
      <c r="I14" s="10" t="str">
        <f t="shared" ref="I14:R22" ca="1" si="5">IF(AND($C14="Objectif",I$7&gt;=$F14,I$7&lt;=$F14+$G14-1),2,IF(AND($C14="Jalon",I$7&gt;=$F14,I$7&lt;=$F14+$G14-1),1,""))</f>
        <v/>
      </c>
      <c r="J14" s="10" t="str">
        <f t="shared" ca="1" si="5"/>
        <v/>
      </c>
      <c r="K14" s="10">
        <f t="shared" ca="1" si="5"/>
        <v>2</v>
      </c>
      <c r="L14" s="10">
        <f t="shared" ca="1" si="5"/>
        <v>2</v>
      </c>
      <c r="M14" s="10">
        <f t="shared" ca="1" si="5"/>
        <v>2</v>
      </c>
      <c r="N14" s="10">
        <f t="shared" ca="1" si="5"/>
        <v>2</v>
      </c>
      <c r="O14" s="10" t="str">
        <f t="shared" ca="1" si="5"/>
        <v/>
      </c>
      <c r="P14" s="10" t="str">
        <f t="shared" ca="1" si="5"/>
        <v/>
      </c>
      <c r="Q14" s="10" t="str">
        <f t="shared" ca="1" si="5"/>
        <v/>
      </c>
      <c r="R14" s="10" t="str">
        <f t="shared" ca="1" si="5"/>
        <v/>
      </c>
      <c r="S14" s="10" t="str">
        <f t="shared" ref="S14:AB22" ca="1" si="6">IF(AND($C14="Objectif",S$7&gt;=$F14,S$7&lt;=$F14+$G14-1),2,IF(AND($C14="Jalon",S$7&gt;=$F14,S$7&lt;=$F14+$G14-1),1,""))</f>
        <v/>
      </c>
      <c r="T14" s="10" t="str">
        <f t="shared" ca="1" si="6"/>
        <v/>
      </c>
      <c r="U14" s="10" t="str">
        <f t="shared" ca="1" si="6"/>
        <v/>
      </c>
      <c r="V14" s="10" t="str">
        <f t="shared" ca="1" si="6"/>
        <v/>
      </c>
      <c r="W14" s="10" t="str">
        <f t="shared" ca="1" si="6"/>
        <v/>
      </c>
      <c r="X14" s="10" t="str">
        <f t="shared" ca="1" si="6"/>
        <v/>
      </c>
      <c r="Y14" s="10" t="str">
        <f t="shared" ca="1" si="6"/>
        <v/>
      </c>
      <c r="Z14" s="10" t="str">
        <f t="shared" ca="1" si="6"/>
        <v/>
      </c>
      <c r="AA14" s="10" t="str">
        <f t="shared" ca="1" si="6"/>
        <v/>
      </c>
      <c r="AB14" s="10" t="str">
        <f t="shared" ca="1" si="6"/>
        <v/>
      </c>
      <c r="AC14" s="10" t="str">
        <f t="shared" ref="AC14:AK22" ca="1" si="7">IF(AND($C14="Objectif",AC$7&gt;=$F14,AC$7&lt;=$F14+$G14-1),2,IF(AND($C14="Jalon",AC$7&gt;=$F14,AC$7&lt;=$F14+$G14-1),1,""))</f>
        <v/>
      </c>
      <c r="AD14" s="10" t="str">
        <f t="shared" ca="1" si="7"/>
        <v/>
      </c>
      <c r="AE14" s="10" t="str">
        <f t="shared" ca="1" si="7"/>
        <v/>
      </c>
      <c r="AF14" s="10" t="str">
        <f t="shared" ca="1" si="7"/>
        <v/>
      </c>
      <c r="AG14" s="10" t="str">
        <f t="shared" ca="1" si="7"/>
        <v/>
      </c>
      <c r="AH14" s="10" t="str">
        <f t="shared" ca="1" si="7"/>
        <v/>
      </c>
      <c r="AI14" s="10" t="str">
        <f t="shared" ca="1" si="7"/>
        <v/>
      </c>
      <c r="AJ14" s="10" t="str">
        <f t="shared" ca="1" si="7"/>
        <v/>
      </c>
      <c r="AK14" s="10" t="str">
        <f t="shared" ca="1" si="7"/>
        <v/>
      </c>
    </row>
    <row r="15" spans="1:38" s="1" customFormat="1" ht="40.15" customHeight="1" x14ac:dyDescent="0.25">
      <c r="A15" s="3"/>
      <c r="B15" s="17" t="s">
        <v>30</v>
      </c>
      <c r="C15" s="13" t="s">
        <v>14</v>
      </c>
      <c r="D15" s="13"/>
      <c r="E15" s="14">
        <v>0</v>
      </c>
      <c r="F15" s="15">
        <f ca="1">F12</f>
        <v>46041</v>
      </c>
      <c r="G15" s="16">
        <v>6</v>
      </c>
      <c r="H15" s="13"/>
      <c r="I15" s="10">
        <f ca="1">IF(AND($C15="Objectif",I$7&gt;=$F15,I$7&lt;=$F15+$G15-1),2,IF(AND($C15="Jalon",I$7&gt;=$F15,I$7&lt;=$F15+$G15-1),1,""))</f>
        <v>2</v>
      </c>
      <c r="J15" s="10">
        <f ca="1">IF(AND($C15="Objectif",J$7&gt;=$F15,J$7&lt;=$F15+$G15-1),2,IF(AND($C15="Jalon",J$7&gt;=$F15,J$7&lt;=$F15+$G15-1),1,""))</f>
        <v>2</v>
      </c>
      <c r="K15" s="10">
        <f ca="1">IF(AND($C15="Objectif",K$7&gt;=$F15,K$7&lt;=$F15+$G15-1),2,IF(AND($C15="Jalon",K$7&gt;=$F15,K$7&lt;=$F15+$G15-1),1,""))</f>
        <v>2</v>
      </c>
      <c r="L15" s="10">
        <f ca="1">IF(AND($C15="Objectif",L$7&gt;=$F15,L$7&lt;=$F15+$G15-1),2,IF(AND($C15="Jalon",L$7&gt;=$F15,L$7&lt;=$F15+$G15-1),1,""))</f>
        <v>2</v>
      </c>
      <c r="M15" s="10">
        <f ca="1">IF(AND($C15="Objectif",M$7&gt;=$F15,M$7&lt;=$F15+$G15-1),2,IF(AND($C15="Jalon",M$7&gt;=$F15,M$7&lt;=$F15+$G15-1),1,""))</f>
        <v>2</v>
      </c>
      <c r="N15" s="10" t="str">
        <f ca="1">IF(AND($C15="Objectif",N$7&gt;=$F15,N$7&lt;=$F15+$G15-1),2,IF(AND($C15="Jalon",N$7&gt;=$F15,N$7&lt;=$F15+$G15-1),1,""))</f>
        <v/>
      </c>
      <c r="O15" s="10" t="str">
        <f ca="1">IF(AND($C15="Objectif",O$7&gt;=$F15,O$7&lt;=$F15+$G15-1),2,IF(AND($C15="Jalon",O$7&gt;=$F15,O$7&lt;=$F15+$G15-1),1,""))</f>
        <v/>
      </c>
      <c r="P15" s="10" t="str">
        <f ca="1">IF(AND($C15="Objectif",P$7&gt;=$F15,P$7&lt;=$F15+$G15-1),2,IF(AND($C15="Jalon",P$7&gt;=$F15,P$7&lt;=$F15+$G15-1),1,""))</f>
        <v/>
      </c>
      <c r="Q15" s="10" t="str">
        <f ca="1">IF(AND($C15="Objectif",Q$7&gt;=$F15,Q$7&lt;=$F15+$G15-1),2,IF(AND($C15="Jalon",Q$7&gt;=$F15,Q$7&lt;=$F15+$G15-1),1,""))</f>
        <v/>
      </c>
      <c r="R15" s="10" t="str">
        <f ca="1">IF(AND($C15="Objectif",R$7&gt;=$F15,R$7&lt;=$F15+$G15-1),2,IF(AND($C15="Jalon",R$7&gt;=$F15,R$7&lt;=$F15+$G15-1),1,""))</f>
        <v/>
      </c>
      <c r="S15" s="10" t="str">
        <f ca="1">IF(AND($C15="Objectif",S$7&gt;=$F15,S$7&lt;=$F15+$G15-1),2,IF(AND($C15="Jalon",S$7&gt;=$F15,S$7&lt;=$F15+$G15-1),1,""))</f>
        <v/>
      </c>
      <c r="T15" s="10" t="str">
        <f ca="1">IF(AND($C15="Objectif",T$7&gt;=$F15,T$7&lt;=$F15+$G15-1),2,IF(AND($C15="Jalon",T$7&gt;=$F15,T$7&lt;=$F15+$G15-1),1,""))</f>
        <v/>
      </c>
      <c r="U15" s="10" t="str">
        <f ca="1">IF(AND($C15="Objectif",U$7&gt;=$F15,U$7&lt;=$F15+$G15-1),2,IF(AND($C15="Jalon",U$7&gt;=$F15,U$7&lt;=$F15+$G15-1),1,""))</f>
        <v/>
      </c>
      <c r="V15" s="10" t="str">
        <f ca="1">IF(AND($C15="Objectif",V$7&gt;=$F15,V$7&lt;=$F15+$G15-1),2,IF(AND($C15="Jalon",V$7&gt;=$F15,V$7&lt;=$F15+$G15-1),1,""))</f>
        <v/>
      </c>
      <c r="W15" s="10" t="str">
        <f ca="1">IF(AND($C15="Objectif",W$7&gt;=$F15,W$7&lt;=$F15+$G15-1),2,IF(AND($C15="Jalon",W$7&gt;=$F15,W$7&lt;=$F15+$G15-1),1,""))</f>
        <v/>
      </c>
      <c r="X15" s="10" t="str">
        <f ca="1">IF(AND($C15="Objectif",X$7&gt;=$F15,X$7&lt;=$F15+$G15-1),2,IF(AND($C15="Jalon",X$7&gt;=$F15,X$7&lt;=$F15+$G15-1),1,""))</f>
        <v/>
      </c>
      <c r="Y15" s="10" t="str">
        <f ca="1">IF(AND($C15="Objectif",Y$7&gt;=$F15,Y$7&lt;=$F15+$G15-1),2,IF(AND($C15="Jalon",Y$7&gt;=$F15,Y$7&lt;=$F15+$G15-1),1,""))</f>
        <v/>
      </c>
      <c r="Z15" s="10" t="str">
        <f ca="1">IF(AND($C15="Objectif",Z$7&gt;=$F15,Z$7&lt;=$F15+$G15-1),2,IF(AND($C15="Jalon",Z$7&gt;=$F15,Z$7&lt;=$F15+$G15-1),1,""))</f>
        <v/>
      </c>
      <c r="AA15" s="10" t="str">
        <f ca="1">IF(AND($C15="Objectif",AA$7&gt;=$F15,AA$7&lt;=$F15+$G15-1),2,IF(AND($C15="Jalon",AA$7&gt;=$F15,AA$7&lt;=$F15+$G15-1),1,""))</f>
        <v/>
      </c>
      <c r="AB15" s="10" t="str">
        <f ca="1">IF(AND($C15="Objectif",AB$7&gt;=$F15,AB$7&lt;=$F15+$G15-1),2,IF(AND($C15="Jalon",AB$7&gt;=$F15,AB$7&lt;=$F15+$G15-1),1,""))</f>
        <v/>
      </c>
      <c r="AC15" s="10" t="str">
        <f ca="1">IF(AND($C15="Objectif",AC$7&gt;=$F15,AC$7&lt;=$F15+$G15-1),2,IF(AND($C15="Jalon",AC$7&gt;=$F15,AC$7&lt;=$F15+$G15-1),1,""))</f>
        <v/>
      </c>
      <c r="AD15" s="10" t="str">
        <f ca="1">IF(AND($C15="Objectif",AD$7&gt;=$F15,AD$7&lt;=$F15+$G15-1),2,IF(AND($C15="Jalon",AD$7&gt;=$F15,AD$7&lt;=$F15+$G15-1),1,""))</f>
        <v/>
      </c>
      <c r="AE15" s="10" t="str">
        <f ca="1">IF(AND($C15="Objectif",AE$7&gt;=$F15,AE$7&lt;=$F15+$G15-1),2,IF(AND($C15="Jalon",AE$7&gt;=$F15,AE$7&lt;=$F15+$G15-1),1,""))</f>
        <v/>
      </c>
      <c r="AF15" s="10" t="str">
        <f ca="1">IF(AND($C15="Objectif",AF$7&gt;=$F15,AF$7&lt;=$F15+$G15-1),2,IF(AND($C15="Jalon",AF$7&gt;=$F15,AF$7&lt;=$F15+$G15-1),1,""))</f>
        <v/>
      </c>
      <c r="AG15" s="10" t="str">
        <f ca="1">IF(AND($C15="Objectif",AG$7&gt;=$F15,AG$7&lt;=$F15+$G15-1),2,IF(AND($C15="Jalon",AG$7&gt;=$F15,AG$7&lt;=$F15+$G15-1),1,""))</f>
        <v/>
      </c>
      <c r="AH15" s="10" t="str">
        <f ca="1">IF(AND($C15="Objectif",AH$7&gt;=$F15,AH$7&lt;=$F15+$G15-1),2,IF(AND($C15="Jalon",AH$7&gt;=$F15,AH$7&lt;=$F15+$G15-1),1,""))</f>
        <v/>
      </c>
      <c r="AI15" s="10" t="str">
        <f ca="1">IF(AND($C15="Objectif",AI$7&gt;=$F15,AI$7&lt;=$F15+$G15-1),2,IF(AND($C15="Jalon",AI$7&gt;=$F15,AI$7&lt;=$F15+$G15-1),1,""))</f>
        <v/>
      </c>
      <c r="AJ15" s="10" t="str">
        <f ca="1">IF(AND($C15="Objectif",AJ$7&gt;=$F15,AJ$7&lt;=$F15+$G15-1),2,IF(AND($C15="Jalon",AJ$7&gt;=$F15,AJ$7&lt;=$F15+$G15-1),1,""))</f>
        <v/>
      </c>
      <c r="AK15" s="10" t="str">
        <f ca="1">IF(AND($C15="Objectif",AK$7&gt;=$F15,AK$7&lt;=$F15+$G15-1),2,IF(AND($C15="Jalon",AK$7&gt;=$F15,AK$7&lt;=$F15+$G15-1),1,""))</f>
        <v/>
      </c>
    </row>
    <row r="16" spans="1:38" s="1" customFormat="1" ht="40.15" customHeight="1" x14ac:dyDescent="0.25">
      <c r="A16" s="3"/>
      <c r="B16" s="17" t="s">
        <v>29</v>
      </c>
      <c r="C16" s="13" t="s">
        <v>16</v>
      </c>
      <c r="D16" s="13"/>
      <c r="E16" s="14">
        <v>0</v>
      </c>
      <c r="F16" s="15">
        <f ca="1">F12+7</f>
        <v>46048</v>
      </c>
      <c r="G16" s="16">
        <v>1</v>
      </c>
      <c r="H16" s="13"/>
      <c r="I16" s="10" t="str">
        <f t="shared" ca="1" si="5"/>
        <v/>
      </c>
      <c r="J16" s="10" t="str">
        <f t="shared" ca="1" si="5"/>
        <v/>
      </c>
      <c r="K16" s="10" t="str">
        <f t="shared" ca="1" si="5"/>
        <v/>
      </c>
      <c r="L16" s="10" t="str">
        <f t="shared" ca="1" si="5"/>
        <v/>
      </c>
      <c r="M16" s="10" t="str">
        <f t="shared" ca="1" si="5"/>
        <v/>
      </c>
      <c r="N16" s="10" t="str">
        <f t="shared" ca="1" si="5"/>
        <v/>
      </c>
      <c r="O16" s="10">
        <f t="shared" ca="1" si="5"/>
        <v>1</v>
      </c>
      <c r="P16" s="10" t="str">
        <f t="shared" ca="1" si="5"/>
        <v/>
      </c>
      <c r="Q16" s="10" t="str">
        <f t="shared" ca="1" si="5"/>
        <v/>
      </c>
      <c r="R16" s="10" t="str">
        <f t="shared" ca="1" si="5"/>
        <v/>
      </c>
      <c r="S16" s="10" t="str">
        <f t="shared" ca="1" si="6"/>
        <v/>
      </c>
      <c r="T16" s="10" t="str">
        <f t="shared" ca="1" si="6"/>
        <v/>
      </c>
      <c r="U16" s="10" t="str">
        <f t="shared" ca="1" si="6"/>
        <v/>
      </c>
      <c r="V16" s="10" t="str">
        <f t="shared" ca="1" si="6"/>
        <v/>
      </c>
      <c r="W16" s="10" t="str">
        <f t="shared" ca="1" si="6"/>
        <v/>
      </c>
      <c r="X16" s="10" t="str">
        <f t="shared" ca="1" si="6"/>
        <v/>
      </c>
      <c r="Y16" s="10" t="str">
        <f t="shared" ca="1" si="6"/>
        <v/>
      </c>
      <c r="Z16" s="10" t="str">
        <f t="shared" ca="1" si="6"/>
        <v/>
      </c>
      <c r="AA16" s="10" t="str">
        <f t="shared" ca="1" si="6"/>
        <v/>
      </c>
      <c r="AB16" s="10" t="str">
        <f t="shared" ca="1" si="6"/>
        <v/>
      </c>
      <c r="AC16" s="10" t="str">
        <f t="shared" ca="1" si="7"/>
        <v/>
      </c>
      <c r="AD16" s="10" t="str">
        <f t="shared" ca="1" si="7"/>
        <v/>
      </c>
      <c r="AE16" s="10" t="str">
        <f t="shared" ca="1" si="7"/>
        <v/>
      </c>
      <c r="AF16" s="10" t="str">
        <f t="shared" ca="1" si="7"/>
        <v/>
      </c>
      <c r="AG16" s="10" t="str">
        <f t="shared" ca="1" si="7"/>
        <v/>
      </c>
      <c r="AH16" s="10" t="str">
        <f t="shared" ca="1" si="7"/>
        <v/>
      </c>
      <c r="AI16" s="10" t="str">
        <f t="shared" ca="1" si="7"/>
        <v/>
      </c>
      <c r="AJ16" s="10" t="str">
        <f t="shared" ca="1" si="7"/>
        <v/>
      </c>
      <c r="AK16" s="10" t="str">
        <f t="shared" ca="1" si="7"/>
        <v/>
      </c>
    </row>
    <row r="17" spans="1:37" s="1" customFormat="1" ht="40.15" customHeight="1" x14ac:dyDescent="0.25">
      <c r="A17" s="4"/>
      <c r="B17" s="39" t="s">
        <v>22</v>
      </c>
      <c r="C17" s="13"/>
      <c r="D17" s="13"/>
      <c r="E17" s="14"/>
      <c r="F17" s="15"/>
      <c r="G17" s="16"/>
      <c r="H17" s="13"/>
      <c r="I17" s="10" t="str">
        <f t="shared" ca="1" si="5"/>
        <v/>
      </c>
      <c r="J17" s="10" t="str">
        <f t="shared" ca="1" si="5"/>
        <v/>
      </c>
      <c r="K17" s="10" t="str">
        <f t="shared" ca="1" si="5"/>
        <v/>
      </c>
      <c r="L17" s="10" t="str">
        <f t="shared" ca="1" si="5"/>
        <v/>
      </c>
      <c r="M17" s="10" t="str">
        <f t="shared" ca="1" si="5"/>
        <v/>
      </c>
      <c r="N17" s="10" t="str">
        <f t="shared" ca="1" si="5"/>
        <v/>
      </c>
      <c r="O17" s="10" t="str">
        <f t="shared" ca="1" si="5"/>
        <v/>
      </c>
      <c r="P17" s="10" t="str">
        <f t="shared" ca="1" si="5"/>
        <v/>
      </c>
      <c r="Q17" s="10" t="str">
        <f t="shared" ca="1" si="5"/>
        <v/>
      </c>
      <c r="R17" s="10" t="str">
        <f t="shared" ca="1" si="5"/>
        <v/>
      </c>
      <c r="S17" s="10" t="str">
        <f t="shared" ca="1" si="6"/>
        <v/>
      </c>
      <c r="T17" s="10" t="str">
        <f t="shared" ca="1" si="6"/>
        <v/>
      </c>
      <c r="U17" s="10" t="str">
        <f t="shared" ca="1" si="6"/>
        <v/>
      </c>
      <c r="V17" s="10" t="str">
        <f t="shared" ca="1" si="6"/>
        <v/>
      </c>
      <c r="W17" s="10" t="str">
        <f t="shared" ca="1" si="6"/>
        <v/>
      </c>
      <c r="X17" s="10" t="str">
        <f t="shared" ca="1" si="6"/>
        <v/>
      </c>
      <c r="Y17" s="10" t="str">
        <f t="shared" ca="1" si="6"/>
        <v/>
      </c>
      <c r="Z17" s="10" t="str">
        <f t="shared" ca="1" si="6"/>
        <v/>
      </c>
      <c r="AA17" s="10" t="str">
        <f t="shared" ca="1" si="6"/>
        <v/>
      </c>
      <c r="AB17" s="10" t="str">
        <f t="shared" ca="1" si="6"/>
        <v/>
      </c>
      <c r="AC17" s="10" t="str">
        <f t="shared" ca="1" si="7"/>
        <v/>
      </c>
      <c r="AD17" s="10" t="str">
        <f t="shared" ca="1" si="7"/>
        <v/>
      </c>
      <c r="AE17" s="10" t="str">
        <f t="shared" ca="1" si="7"/>
        <v/>
      </c>
      <c r="AF17" s="10" t="str">
        <f t="shared" ca="1" si="7"/>
        <v/>
      </c>
      <c r="AG17" s="10" t="str">
        <f t="shared" ca="1" si="7"/>
        <v/>
      </c>
      <c r="AH17" s="10" t="str">
        <f t="shared" ca="1" si="7"/>
        <v/>
      </c>
      <c r="AI17" s="10" t="str">
        <f t="shared" ca="1" si="7"/>
        <v/>
      </c>
      <c r="AJ17" s="10" t="str">
        <f t="shared" ca="1" si="7"/>
        <v/>
      </c>
      <c r="AK17" s="10" t="str">
        <f t="shared" ca="1" si="7"/>
        <v/>
      </c>
    </row>
    <row r="18" spans="1:37" s="1" customFormat="1" ht="40.15" customHeight="1" x14ac:dyDescent="0.25">
      <c r="A18" s="4"/>
      <c r="B18" s="17" t="s">
        <v>23</v>
      </c>
      <c r="C18" s="13" t="s">
        <v>14</v>
      </c>
      <c r="D18" s="13"/>
      <c r="E18" s="14">
        <v>0</v>
      </c>
      <c r="F18" s="15">
        <f ca="1">F12+7</f>
        <v>46048</v>
      </c>
      <c r="G18" s="16">
        <v>1</v>
      </c>
      <c r="H18" s="13"/>
      <c r="I18" s="10" t="str">
        <f t="shared" ca="1" si="5"/>
        <v/>
      </c>
      <c r="J18" s="10" t="str">
        <f t="shared" ca="1" si="5"/>
        <v/>
      </c>
      <c r="K18" s="10" t="str">
        <f t="shared" ca="1" si="5"/>
        <v/>
      </c>
      <c r="L18" s="10" t="str">
        <f t="shared" ca="1" si="5"/>
        <v/>
      </c>
      <c r="M18" s="10" t="str">
        <f t="shared" ca="1" si="5"/>
        <v/>
      </c>
      <c r="N18" s="10" t="str">
        <f t="shared" ca="1" si="5"/>
        <v/>
      </c>
      <c r="O18" s="10">
        <f t="shared" ca="1" si="5"/>
        <v>2</v>
      </c>
      <c r="P18" s="10" t="str">
        <f t="shared" ca="1" si="5"/>
        <v/>
      </c>
      <c r="Q18" s="10" t="str">
        <f t="shared" ca="1" si="5"/>
        <v/>
      </c>
      <c r="R18" s="10" t="str">
        <f t="shared" ca="1" si="5"/>
        <v/>
      </c>
      <c r="S18" s="10" t="str">
        <f t="shared" ca="1" si="6"/>
        <v/>
      </c>
      <c r="T18" s="10" t="str">
        <f t="shared" ca="1" si="6"/>
        <v/>
      </c>
      <c r="U18" s="10" t="str">
        <f t="shared" ca="1" si="6"/>
        <v/>
      </c>
      <c r="V18" s="10" t="str">
        <f t="shared" ca="1" si="6"/>
        <v/>
      </c>
      <c r="W18" s="10" t="str">
        <f t="shared" ca="1" si="6"/>
        <v/>
      </c>
      <c r="X18" s="10" t="str">
        <f t="shared" ca="1" si="6"/>
        <v/>
      </c>
      <c r="Y18" s="10" t="str">
        <f t="shared" ca="1" si="6"/>
        <v/>
      </c>
      <c r="Z18" s="10" t="str">
        <f t="shared" ca="1" si="6"/>
        <v/>
      </c>
      <c r="AA18" s="10" t="str">
        <f t="shared" ca="1" si="6"/>
        <v/>
      </c>
      <c r="AB18" s="10" t="str">
        <f t="shared" ca="1" si="6"/>
        <v/>
      </c>
      <c r="AC18" s="10" t="str">
        <f t="shared" ca="1" si="7"/>
        <v/>
      </c>
      <c r="AD18" s="10" t="str">
        <f t="shared" ca="1" si="7"/>
        <v/>
      </c>
      <c r="AE18" s="10" t="str">
        <f t="shared" ca="1" si="7"/>
        <v/>
      </c>
      <c r="AF18" s="10" t="str">
        <f t="shared" ca="1" si="7"/>
        <v/>
      </c>
      <c r="AG18" s="10" t="str">
        <f t="shared" ca="1" si="7"/>
        <v/>
      </c>
      <c r="AH18" s="10" t="str">
        <f t="shared" ca="1" si="7"/>
        <v/>
      </c>
      <c r="AI18" s="10" t="str">
        <f t="shared" ca="1" si="7"/>
        <v/>
      </c>
      <c r="AJ18" s="10" t="str">
        <f t="shared" ca="1" si="7"/>
        <v/>
      </c>
      <c r="AK18" s="10" t="str">
        <f t="shared" ca="1" si="7"/>
        <v/>
      </c>
    </row>
    <row r="19" spans="1:37" s="1" customFormat="1" ht="40.15" customHeight="1" x14ac:dyDescent="0.25">
      <c r="A19" s="3"/>
      <c r="B19" s="17" t="s">
        <v>24</v>
      </c>
      <c r="C19" s="13" t="s">
        <v>14</v>
      </c>
      <c r="D19" s="13"/>
      <c r="E19" s="14">
        <v>0.05</v>
      </c>
      <c r="F19" s="15">
        <f ca="1">F18+1</f>
        <v>46049</v>
      </c>
      <c r="G19" s="16">
        <v>2</v>
      </c>
      <c r="H19" s="13"/>
      <c r="I19" s="10" t="str">
        <f t="shared" ca="1" si="5"/>
        <v/>
      </c>
      <c r="J19" s="10" t="str">
        <f t="shared" ca="1" si="5"/>
        <v/>
      </c>
      <c r="K19" s="10" t="str">
        <f t="shared" ca="1" si="5"/>
        <v/>
      </c>
      <c r="L19" s="10" t="str">
        <f t="shared" ca="1" si="5"/>
        <v/>
      </c>
      <c r="M19" s="10" t="str">
        <f t="shared" ca="1" si="5"/>
        <v/>
      </c>
      <c r="N19" s="10" t="str">
        <f t="shared" ca="1" si="5"/>
        <v/>
      </c>
      <c r="O19" s="10" t="str">
        <f t="shared" ca="1" si="5"/>
        <v/>
      </c>
      <c r="P19" s="10">
        <f t="shared" ca="1" si="5"/>
        <v>2</v>
      </c>
      <c r="Q19" s="10">
        <f t="shared" ca="1" si="5"/>
        <v>2</v>
      </c>
      <c r="R19" s="10" t="str">
        <f t="shared" ca="1" si="5"/>
        <v/>
      </c>
      <c r="S19" s="10" t="str">
        <f t="shared" ca="1" si="6"/>
        <v/>
      </c>
      <c r="T19" s="10" t="str">
        <f t="shared" ca="1" si="6"/>
        <v/>
      </c>
      <c r="U19" s="10" t="str">
        <f t="shared" ca="1" si="6"/>
        <v/>
      </c>
      <c r="V19" s="10" t="str">
        <f t="shared" ca="1" si="6"/>
        <v/>
      </c>
      <c r="W19" s="10" t="str">
        <f t="shared" ca="1" si="6"/>
        <v/>
      </c>
      <c r="X19" s="10" t="str">
        <f t="shared" ca="1" si="6"/>
        <v/>
      </c>
      <c r="Y19" s="10" t="str">
        <f t="shared" ca="1" si="6"/>
        <v/>
      </c>
      <c r="Z19" s="10" t="str">
        <f t="shared" ca="1" si="6"/>
        <v/>
      </c>
      <c r="AA19" s="10" t="str">
        <f t="shared" ca="1" si="6"/>
        <v/>
      </c>
      <c r="AB19" s="10" t="str">
        <f t="shared" ca="1" si="6"/>
        <v/>
      </c>
      <c r="AC19" s="10" t="str">
        <f t="shared" ca="1" si="7"/>
        <v/>
      </c>
      <c r="AD19" s="10" t="str">
        <f t="shared" ca="1" si="7"/>
        <v/>
      </c>
      <c r="AE19" s="10" t="str">
        <f t="shared" ca="1" si="7"/>
        <v/>
      </c>
      <c r="AF19" s="10" t="str">
        <f t="shared" ca="1" si="7"/>
        <v/>
      </c>
      <c r="AG19" s="10" t="str">
        <f t="shared" ca="1" si="7"/>
        <v/>
      </c>
      <c r="AH19" s="10" t="str">
        <f t="shared" ca="1" si="7"/>
        <v/>
      </c>
      <c r="AI19" s="10" t="str">
        <f t="shared" ca="1" si="7"/>
        <v/>
      </c>
      <c r="AJ19" s="10" t="str">
        <f t="shared" ca="1" si="7"/>
        <v/>
      </c>
      <c r="AK19" s="10" t="str">
        <f t="shared" ca="1" si="7"/>
        <v/>
      </c>
    </row>
    <row r="20" spans="1:37" s="1" customFormat="1" ht="40.15" customHeight="1" x14ac:dyDescent="0.25">
      <c r="A20" s="3"/>
      <c r="B20" s="17" t="s">
        <v>25</v>
      </c>
      <c r="C20" s="13" t="s">
        <v>14</v>
      </c>
      <c r="D20" s="13"/>
      <c r="E20" s="14">
        <v>0.33</v>
      </c>
      <c r="F20" s="15">
        <f ca="1">F19+2</f>
        <v>46051</v>
      </c>
      <c r="G20" s="16">
        <v>2</v>
      </c>
      <c r="H20" s="13"/>
      <c r="I20" s="10" t="str">
        <f t="shared" ca="1" si="5"/>
        <v/>
      </c>
      <c r="J20" s="10" t="str">
        <f t="shared" ca="1" si="5"/>
        <v/>
      </c>
      <c r="K20" s="10" t="str">
        <f t="shared" ca="1" si="5"/>
        <v/>
      </c>
      <c r="L20" s="10" t="str">
        <f t="shared" ca="1" si="5"/>
        <v/>
      </c>
      <c r="M20" s="10" t="str">
        <f t="shared" ca="1" si="5"/>
        <v/>
      </c>
      <c r="N20" s="10" t="str">
        <f t="shared" ca="1" si="5"/>
        <v/>
      </c>
      <c r="O20" s="10" t="str">
        <f t="shared" ca="1" si="5"/>
        <v/>
      </c>
      <c r="P20" s="10" t="str">
        <f t="shared" ca="1" si="5"/>
        <v/>
      </c>
      <c r="Q20" s="10" t="str">
        <f t="shared" ca="1" si="5"/>
        <v/>
      </c>
      <c r="R20" s="10">
        <f t="shared" ca="1" si="5"/>
        <v>2</v>
      </c>
      <c r="S20" s="10">
        <f t="shared" ca="1" si="6"/>
        <v>2</v>
      </c>
      <c r="T20" s="10" t="str">
        <f t="shared" ca="1" si="6"/>
        <v/>
      </c>
      <c r="U20" s="10" t="str">
        <f t="shared" ca="1" si="6"/>
        <v/>
      </c>
      <c r="V20" s="10" t="str">
        <f t="shared" ca="1" si="6"/>
        <v/>
      </c>
      <c r="W20" s="10" t="str">
        <f t="shared" ca="1" si="6"/>
        <v/>
      </c>
      <c r="X20" s="10" t="str">
        <f t="shared" ca="1" si="6"/>
        <v/>
      </c>
      <c r="Y20" s="10" t="str">
        <f t="shared" ca="1" si="6"/>
        <v/>
      </c>
      <c r="Z20" s="10" t="str">
        <f t="shared" ca="1" si="6"/>
        <v/>
      </c>
      <c r="AA20" s="10" t="str">
        <f t="shared" ca="1" si="6"/>
        <v/>
      </c>
      <c r="AB20" s="10" t="str">
        <f t="shared" ca="1" si="6"/>
        <v/>
      </c>
      <c r="AC20" s="10" t="str">
        <f t="shared" ca="1" si="7"/>
        <v/>
      </c>
      <c r="AD20" s="10" t="str">
        <f t="shared" ca="1" si="7"/>
        <v/>
      </c>
      <c r="AE20" s="10" t="str">
        <f t="shared" ca="1" si="7"/>
        <v/>
      </c>
      <c r="AF20" s="10" t="str">
        <f t="shared" ca="1" si="7"/>
        <v/>
      </c>
      <c r="AG20" s="10" t="str">
        <f t="shared" ca="1" si="7"/>
        <v/>
      </c>
      <c r="AH20" s="10" t="str">
        <f t="shared" ca="1" si="7"/>
        <v/>
      </c>
      <c r="AI20" s="10" t="str">
        <f t="shared" ca="1" si="7"/>
        <v/>
      </c>
      <c r="AJ20" s="10" t="str">
        <f t="shared" ca="1" si="7"/>
        <v/>
      </c>
      <c r="AK20" s="10" t="str">
        <f t="shared" ca="1" si="7"/>
        <v/>
      </c>
    </row>
    <row r="21" spans="1:37" s="1" customFormat="1" ht="40.15" customHeight="1" x14ac:dyDescent="0.25">
      <c r="A21" s="3"/>
      <c r="B21" s="17" t="s">
        <v>26</v>
      </c>
      <c r="C21" s="13" t="s">
        <v>16</v>
      </c>
      <c r="D21" s="13"/>
      <c r="E21" s="14"/>
      <c r="F21" s="15">
        <f ca="1">F20+2</f>
        <v>46053</v>
      </c>
      <c r="G21" s="16">
        <v>1</v>
      </c>
      <c r="H21" s="13"/>
      <c r="I21" s="10" t="str">
        <f t="shared" ca="1" si="5"/>
        <v/>
      </c>
      <c r="J21" s="10" t="str">
        <f t="shared" ca="1" si="5"/>
        <v/>
      </c>
      <c r="K21" s="10" t="str">
        <f t="shared" ca="1" si="5"/>
        <v/>
      </c>
      <c r="L21" s="10" t="str">
        <f t="shared" ca="1" si="5"/>
        <v/>
      </c>
      <c r="M21" s="10" t="str">
        <f t="shared" ca="1" si="5"/>
        <v/>
      </c>
      <c r="N21" s="10" t="str">
        <f t="shared" ca="1" si="5"/>
        <v/>
      </c>
      <c r="O21" s="10" t="str">
        <f t="shared" ca="1" si="5"/>
        <v/>
      </c>
      <c r="P21" s="10" t="str">
        <f t="shared" ca="1" si="5"/>
        <v/>
      </c>
      <c r="Q21" s="10" t="str">
        <f t="shared" ca="1" si="5"/>
        <v/>
      </c>
      <c r="R21" s="10" t="str">
        <f t="shared" ca="1" si="5"/>
        <v/>
      </c>
      <c r="S21" s="10" t="str">
        <f t="shared" ca="1" si="6"/>
        <v/>
      </c>
      <c r="T21" s="10">
        <f t="shared" ca="1" si="6"/>
        <v>1</v>
      </c>
      <c r="U21" s="10" t="str">
        <f t="shared" ca="1" si="6"/>
        <v/>
      </c>
      <c r="V21" s="10" t="str">
        <f t="shared" ca="1" si="6"/>
        <v/>
      </c>
      <c r="W21" s="10" t="str">
        <f t="shared" ca="1" si="6"/>
        <v/>
      </c>
      <c r="X21" s="10" t="str">
        <f t="shared" ca="1" si="6"/>
        <v/>
      </c>
      <c r="Y21" s="10" t="str">
        <f t="shared" ca="1" si="6"/>
        <v/>
      </c>
      <c r="Z21" s="10" t="str">
        <f t="shared" ca="1" si="6"/>
        <v/>
      </c>
      <c r="AA21" s="10" t="str">
        <f t="shared" ca="1" si="6"/>
        <v/>
      </c>
      <c r="AB21" s="10" t="str">
        <f t="shared" ca="1" si="6"/>
        <v/>
      </c>
      <c r="AC21" s="10" t="str">
        <f t="shared" ca="1" si="7"/>
        <v/>
      </c>
      <c r="AD21" s="10" t="str">
        <f t="shared" ca="1" si="7"/>
        <v/>
      </c>
      <c r="AE21" s="10" t="str">
        <f t="shared" ca="1" si="7"/>
        <v/>
      </c>
      <c r="AF21" s="10" t="str">
        <f t="shared" ca="1" si="7"/>
        <v/>
      </c>
      <c r="AG21" s="10" t="str">
        <f t="shared" ca="1" si="7"/>
        <v/>
      </c>
      <c r="AH21" s="10" t="str">
        <f t="shared" ca="1" si="7"/>
        <v/>
      </c>
      <c r="AI21" s="10" t="str">
        <f t="shared" ca="1" si="7"/>
        <v/>
      </c>
      <c r="AJ21" s="10" t="str">
        <f t="shared" ca="1" si="7"/>
        <v/>
      </c>
      <c r="AK21" s="10" t="str">
        <f t="shared" ca="1" si="7"/>
        <v/>
      </c>
    </row>
    <row r="22" spans="1:37" s="1" customFormat="1" ht="40.15" customHeight="1" x14ac:dyDescent="0.25">
      <c r="A22" s="3"/>
      <c r="B22" s="39" t="s">
        <v>31</v>
      </c>
      <c r="C22" s="13"/>
      <c r="D22" s="13"/>
      <c r="E22" s="14"/>
      <c r="F22" s="15"/>
      <c r="G22" s="16"/>
      <c r="H22" s="13"/>
      <c r="I22" s="10" t="str">
        <f t="shared" ca="1" si="5"/>
        <v/>
      </c>
      <c r="J22" s="10" t="str">
        <f t="shared" ca="1" si="5"/>
        <v/>
      </c>
      <c r="K22" s="10" t="str">
        <f t="shared" ca="1" si="5"/>
        <v/>
      </c>
      <c r="L22" s="10" t="str">
        <f t="shared" ca="1" si="5"/>
        <v/>
      </c>
      <c r="M22" s="10" t="str">
        <f t="shared" ca="1" si="5"/>
        <v/>
      </c>
      <c r="N22" s="10" t="str">
        <f t="shared" ca="1" si="5"/>
        <v/>
      </c>
      <c r="O22" s="10" t="str">
        <f t="shared" ca="1" si="5"/>
        <v/>
      </c>
      <c r="P22" s="10" t="str">
        <f t="shared" ca="1" si="5"/>
        <v/>
      </c>
      <c r="Q22" s="10" t="str">
        <f t="shared" ca="1" si="5"/>
        <v/>
      </c>
      <c r="R22" s="10" t="str">
        <f t="shared" ca="1" si="5"/>
        <v/>
      </c>
      <c r="S22" s="10" t="str">
        <f t="shared" ca="1" si="6"/>
        <v/>
      </c>
      <c r="T22" s="10" t="str">
        <f t="shared" ca="1" si="6"/>
        <v/>
      </c>
      <c r="U22" s="10" t="str">
        <f t="shared" ca="1" si="6"/>
        <v/>
      </c>
      <c r="V22" s="10" t="str">
        <f t="shared" ca="1" si="6"/>
        <v/>
      </c>
      <c r="W22" s="10" t="str">
        <f t="shared" ca="1" si="6"/>
        <v/>
      </c>
      <c r="X22" s="10" t="str">
        <f t="shared" ca="1" si="6"/>
        <v/>
      </c>
      <c r="Y22" s="10" t="str">
        <f t="shared" ca="1" si="6"/>
        <v/>
      </c>
      <c r="Z22" s="10" t="str">
        <f t="shared" ca="1" si="6"/>
        <v/>
      </c>
      <c r="AA22" s="10" t="str">
        <f t="shared" ca="1" si="6"/>
        <v/>
      </c>
      <c r="AB22" s="10" t="str">
        <f t="shared" ca="1" si="6"/>
        <v/>
      </c>
      <c r="AC22" s="10" t="str">
        <f t="shared" ca="1" si="7"/>
        <v/>
      </c>
      <c r="AD22" s="10" t="str">
        <f t="shared" ca="1" si="7"/>
        <v/>
      </c>
      <c r="AE22" s="10" t="str">
        <f t="shared" ca="1" si="7"/>
        <v/>
      </c>
      <c r="AF22" s="10" t="str">
        <f t="shared" ca="1" si="7"/>
        <v/>
      </c>
      <c r="AG22" s="10" t="str">
        <f t="shared" ca="1" si="7"/>
        <v/>
      </c>
      <c r="AH22" s="10" t="str">
        <f t="shared" ca="1" si="7"/>
        <v/>
      </c>
      <c r="AI22" s="10" t="str">
        <f t="shared" ca="1" si="7"/>
        <v/>
      </c>
      <c r="AJ22" s="10" t="str">
        <f t="shared" ca="1" si="7"/>
        <v/>
      </c>
      <c r="AK22" s="10" t="str">
        <f t="shared" ca="1" si="7"/>
        <v/>
      </c>
    </row>
    <row r="23" spans="1:37" s="1" customFormat="1" ht="40.15" customHeight="1" x14ac:dyDescent="0.25">
      <c r="A23" s="3"/>
      <c r="B23" s="17" t="s">
        <v>33</v>
      </c>
      <c r="C23" s="13" t="s">
        <v>14</v>
      </c>
      <c r="D23" s="13"/>
      <c r="E23" s="14"/>
      <c r="F23" s="15">
        <f ca="1">F20+4</f>
        <v>46055</v>
      </c>
      <c r="G23" s="16">
        <v>2</v>
      </c>
      <c r="H23" s="13"/>
      <c r="I23" s="10" t="str">
        <f t="shared" ref="I23:R29" ca="1" si="8">IF(AND($C23="Objectif",I$7&gt;=$F23,I$7&lt;=$F23+$G23-1),2,IF(AND($C23="Jalon",I$7&gt;=$F23,I$7&lt;=$F23+$G23-1),1,""))</f>
        <v/>
      </c>
      <c r="J23" s="10" t="str">
        <f t="shared" ca="1" si="8"/>
        <v/>
      </c>
      <c r="K23" s="10" t="str">
        <f t="shared" ca="1" si="8"/>
        <v/>
      </c>
      <c r="L23" s="10" t="str">
        <f t="shared" ca="1" si="8"/>
        <v/>
      </c>
      <c r="M23" s="10" t="str">
        <f t="shared" ca="1" si="8"/>
        <v/>
      </c>
      <c r="N23" s="10" t="str">
        <f t="shared" ca="1" si="8"/>
        <v/>
      </c>
      <c r="O23" s="10" t="str">
        <f t="shared" ca="1" si="8"/>
        <v/>
      </c>
      <c r="P23" s="10" t="str">
        <f t="shared" ca="1" si="8"/>
        <v/>
      </c>
      <c r="Q23" s="10" t="str">
        <f t="shared" ca="1" si="8"/>
        <v/>
      </c>
      <c r="R23" s="10" t="str">
        <f t="shared" ca="1" si="8"/>
        <v/>
      </c>
      <c r="S23" s="10" t="str">
        <f t="shared" ref="S23:AB29" ca="1" si="9">IF(AND($C23="Objectif",S$7&gt;=$F23,S$7&lt;=$F23+$G23-1),2,IF(AND($C23="Jalon",S$7&gt;=$F23,S$7&lt;=$F23+$G23-1),1,""))</f>
        <v/>
      </c>
      <c r="T23" s="10" t="str">
        <f t="shared" ca="1" si="9"/>
        <v/>
      </c>
      <c r="U23" s="10" t="str">
        <f t="shared" ca="1" si="9"/>
        <v/>
      </c>
      <c r="V23" s="10">
        <f t="shared" ca="1" si="9"/>
        <v>2</v>
      </c>
      <c r="W23" s="10">
        <f t="shared" ca="1" si="9"/>
        <v>2</v>
      </c>
      <c r="X23" s="10" t="str">
        <f t="shared" ca="1" si="9"/>
        <v/>
      </c>
      <c r="Y23" s="10" t="str">
        <f t="shared" ca="1" si="9"/>
        <v/>
      </c>
      <c r="Z23" s="10" t="str">
        <f t="shared" ca="1" si="9"/>
        <v/>
      </c>
      <c r="AA23" s="10" t="str">
        <f t="shared" ca="1" si="9"/>
        <v/>
      </c>
      <c r="AB23" s="10" t="str">
        <f t="shared" ca="1" si="9"/>
        <v/>
      </c>
      <c r="AC23" s="10" t="str">
        <f t="shared" ref="AC23:AK29" ca="1" si="10">IF(AND($C23="Objectif",AC$7&gt;=$F23,AC$7&lt;=$F23+$G23-1),2,IF(AND($C23="Jalon",AC$7&gt;=$F23,AC$7&lt;=$F23+$G23-1),1,""))</f>
        <v/>
      </c>
      <c r="AD23" s="10" t="str">
        <f t="shared" ca="1" si="10"/>
        <v/>
      </c>
      <c r="AE23" s="10" t="str">
        <f t="shared" ca="1" si="10"/>
        <v/>
      </c>
      <c r="AF23" s="10" t="str">
        <f t="shared" ca="1" si="10"/>
        <v/>
      </c>
      <c r="AG23" s="10" t="str">
        <f t="shared" ca="1" si="10"/>
        <v/>
      </c>
      <c r="AH23" s="10" t="str">
        <f t="shared" ca="1" si="10"/>
        <v/>
      </c>
      <c r="AI23" s="10" t="str">
        <f t="shared" ca="1" si="10"/>
        <v/>
      </c>
      <c r="AJ23" s="10" t="str">
        <f t="shared" ca="1" si="10"/>
        <v/>
      </c>
      <c r="AK23" s="10" t="str">
        <f t="shared" ca="1" si="10"/>
        <v/>
      </c>
    </row>
    <row r="24" spans="1:37" s="1" customFormat="1" ht="40.15" customHeight="1" x14ac:dyDescent="0.25">
      <c r="A24" s="3"/>
      <c r="B24" s="17" t="s">
        <v>32</v>
      </c>
      <c r="C24" s="13" t="s">
        <v>14</v>
      </c>
      <c r="D24" s="13"/>
      <c r="E24" s="14"/>
      <c r="F24" s="15">
        <f ca="1">F23+2</f>
        <v>46057</v>
      </c>
      <c r="G24" s="16">
        <v>2</v>
      </c>
      <c r="H24" s="13"/>
      <c r="I24" s="10" t="str">
        <f t="shared" ca="1" si="8"/>
        <v/>
      </c>
      <c r="J24" s="10" t="str">
        <f t="shared" ca="1" si="8"/>
        <v/>
      </c>
      <c r="K24" s="10" t="str">
        <f t="shared" ca="1" si="8"/>
        <v/>
      </c>
      <c r="L24" s="10" t="str">
        <f t="shared" ca="1" si="8"/>
        <v/>
      </c>
      <c r="M24" s="10" t="str">
        <f t="shared" ca="1" si="8"/>
        <v/>
      </c>
      <c r="N24" s="10" t="str">
        <f t="shared" ca="1" si="8"/>
        <v/>
      </c>
      <c r="O24" s="10" t="str">
        <f t="shared" ca="1" si="8"/>
        <v/>
      </c>
      <c r="P24" s="10" t="str">
        <f t="shared" ca="1" si="8"/>
        <v/>
      </c>
      <c r="Q24" s="10" t="str">
        <f t="shared" ca="1" si="8"/>
        <v/>
      </c>
      <c r="R24" s="10" t="str">
        <f t="shared" ca="1" si="8"/>
        <v/>
      </c>
      <c r="S24" s="10" t="str">
        <f t="shared" ca="1" si="9"/>
        <v/>
      </c>
      <c r="T24" s="10" t="str">
        <f t="shared" ca="1" si="9"/>
        <v/>
      </c>
      <c r="U24" s="10" t="str">
        <f t="shared" ca="1" si="9"/>
        <v/>
      </c>
      <c r="V24" s="10" t="str">
        <f t="shared" ca="1" si="9"/>
        <v/>
      </c>
      <c r="W24" s="10" t="str">
        <f t="shared" ca="1" si="9"/>
        <v/>
      </c>
      <c r="X24" s="10">
        <f t="shared" ca="1" si="9"/>
        <v>2</v>
      </c>
      <c r="Y24" s="10">
        <f t="shared" ca="1" si="9"/>
        <v>2</v>
      </c>
      <c r="Z24" s="10" t="str">
        <f t="shared" ca="1" si="9"/>
        <v/>
      </c>
      <c r="AA24" s="10" t="str">
        <f t="shared" ca="1" si="9"/>
        <v/>
      </c>
      <c r="AB24" s="10" t="str">
        <f t="shared" ca="1" si="9"/>
        <v/>
      </c>
      <c r="AC24" s="10" t="str">
        <f t="shared" ca="1" si="10"/>
        <v/>
      </c>
      <c r="AD24" s="10" t="str">
        <f t="shared" ca="1" si="10"/>
        <v/>
      </c>
      <c r="AE24" s="10" t="str">
        <f t="shared" ca="1" si="10"/>
        <v/>
      </c>
      <c r="AF24" s="10" t="str">
        <f t="shared" ca="1" si="10"/>
        <v/>
      </c>
      <c r="AG24" s="10" t="str">
        <f t="shared" ca="1" si="10"/>
        <v/>
      </c>
      <c r="AH24" s="10" t="str">
        <f t="shared" ca="1" si="10"/>
        <v/>
      </c>
      <c r="AI24" s="10" t="str">
        <f t="shared" ca="1" si="10"/>
        <v/>
      </c>
      <c r="AJ24" s="10" t="str">
        <f t="shared" ca="1" si="10"/>
        <v/>
      </c>
      <c r="AK24" s="10" t="str">
        <f t="shared" ca="1" si="10"/>
        <v/>
      </c>
    </row>
    <row r="25" spans="1:37" s="1" customFormat="1" ht="40.15" customHeight="1" x14ac:dyDescent="0.25">
      <c r="A25" s="3"/>
      <c r="B25" s="17" t="s">
        <v>34</v>
      </c>
      <c r="C25" s="13" t="s">
        <v>14</v>
      </c>
      <c r="D25" s="13"/>
      <c r="E25" s="14"/>
      <c r="F25" s="15">
        <f ca="1">F24+2</f>
        <v>46059</v>
      </c>
      <c r="G25" s="16">
        <v>1</v>
      </c>
      <c r="H25" s="13"/>
      <c r="I25" s="10" t="str">
        <f t="shared" ca="1" si="8"/>
        <v/>
      </c>
      <c r="J25" s="10" t="str">
        <f t="shared" ca="1" si="8"/>
        <v/>
      </c>
      <c r="K25" s="10" t="str">
        <f t="shared" ca="1" si="8"/>
        <v/>
      </c>
      <c r="L25" s="10" t="str">
        <f t="shared" ca="1" si="8"/>
        <v/>
      </c>
      <c r="M25" s="10" t="str">
        <f t="shared" ca="1" si="8"/>
        <v/>
      </c>
      <c r="N25" s="10" t="str">
        <f t="shared" ca="1" si="8"/>
        <v/>
      </c>
      <c r="O25" s="10" t="str">
        <f t="shared" ca="1" si="8"/>
        <v/>
      </c>
      <c r="P25" s="10" t="str">
        <f t="shared" ca="1" si="8"/>
        <v/>
      </c>
      <c r="Q25" s="10" t="str">
        <f t="shared" ca="1" si="8"/>
        <v/>
      </c>
      <c r="R25" s="10" t="str">
        <f t="shared" ca="1" si="8"/>
        <v/>
      </c>
      <c r="S25" s="10" t="str">
        <f t="shared" ca="1" si="9"/>
        <v/>
      </c>
      <c r="T25" s="10" t="str">
        <f t="shared" ca="1" si="9"/>
        <v/>
      </c>
      <c r="U25" s="10" t="str">
        <f t="shared" ca="1" si="9"/>
        <v/>
      </c>
      <c r="V25" s="10" t="str">
        <f t="shared" ca="1" si="9"/>
        <v/>
      </c>
      <c r="W25" s="10" t="str">
        <f t="shared" ca="1" si="9"/>
        <v/>
      </c>
      <c r="X25" s="10" t="str">
        <f t="shared" ca="1" si="9"/>
        <v/>
      </c>
      <c r="Y25" s="10" t="str">
        <f t="shared" ca="1" si="9"/>
        <v/>
      </c>
      <c r="Z25" s="10">
        <f t="shared" ca="1" si="9"/>
        <v>2</v>
      </c>
      <c r="AA25" s="10" t="str">
        <f t="shared" ca="1" si="9"/>
        <v/>
      </c>
      <c r="AB25" s="10" t="str">
        <f t="shared" ca="1" si="9"/>
        <v/>
      </c>
      <c r="AC25" s="10" t="str">
        <f t="shared" ca="1" si="10"/>
        <v/>
      </c>
      <c r="AD25" s="10" t="str">
        <f t="shared" ca="1" si="10"/>
        <v/>
      </c>
      <c r="AE25" s="10" t="str">
        <f t="shared" ca="1" si="10"/>
        <v/>
      </c>
      <c r="AF25" s="10" t="str">
        <f t="shared" ca="1" si="10"/>
        <v/>
      </c>
      <c r="AG25" s="10" t="str">
        <f t="shared" ca="1" si="10"/>
        <v/>
      </c>
      <c r="AH25" s="10" t="str">
        <f t="shared" ca="1" si="10"/>
        <v/>
      </c>
      <c r="AI25" s="10" t="str">
        <f t="shared" ca="1" si="10"/>
        <v/>
      </c>
      <c r="AJ25" s="10" t="str">
        <f t="shared" ca="1" si="10"/>
        <v/>
      </c>
      <c r="AK25" s="10" t="str">
        <f t="shared" ca="1" si="10"/>
        <v/>
      </c>
    </row>
    <row r="26" spans="1:37" s="1" customFormat="1" ht="40.15" customHeight="1" x14ac:dyDescent="0.25">
      <c r="A26" s="3"/>
      <c r="B26" s="17" t="s">
        <v>35</v>
      </c>
      <c r="C26" s="13" t="s">
        <v>16</v>
      </c>
      <c r="D26" s="13"/>
      <c r="E26" s="14"/>
      <c r="F26" s="15">
        <f ca="1">F12+21</f>
        <v>46062</v>
      </c>
      <c r="G26" s="16">
        <v>1</v>
      </c>
      <c r="H26" s="13"/>
      <c r="I26" s="10" t="str">
        <f t="shared" ca="1" si="8"/>
        <v/>
      </c>
      <c r="J26" s="10" t="str">
        <f t="shared" ca="1" si="8"/>
        <v/>
      </c>
      <c r="K26" s="10" t="str">
        <f t="shared" ca="1" si="8"/>
        <v/>
      </c>
      <c r="L26" s="10" t="str">
        <f t="shared" ca="1" si="8"/>
        <v/>
      </c>
      <c r="M26" s="10" t="str">
        <f t="shared" ca="1" si="8"/>
        <v/>
      </c>
      <c r="N26" s="10" t="str">
        <f t="shared" ca="1" si="8"/>
        <v/>
      </c>
      <c r="O26" s="10" t="str">
        <f t="shared" ca="1" si="8"/>
        <v/>
      </c>
      <c r="P26" s="10" t="str">
        <f t="shared" ca="1" si="8"/>
        <v/>
      </c>
      <c r="Q26" s="10" t="str">
        <f t="shared" ca="1" si="8"/>
        <v/>
      </c>
      <c r="R26" s="10" t="str">
        <f t="shared" ca="1" si="8"/>
        <v/>
      </c>
      <c r="S26" s="10" t="str">
        <f t="shared" ca="1" si="9"/>
        <v/>
      </c>
      <c r="T26" s="10" t="str">
        <f t="shared" ca="1" si="9"/>
        <v/>
      </c>
      <c r="U26" s="10" t="str">
        <f t="shared" ca="1" si="9"/>
        <v/>
      </c>
      <c r="V26" s="10" t="str">
        <f t="shared" ca="1" si="9"/>
        <v/>
      </c>
      <c r="W26" s="10" t="str">
        <f t="shared" ca="1" si="9"/>
        <v/>
      </c>
      <c r="X26" s="10" t="str">
        <f t="shared" ca="1" si="9"/>
        <v/>
      </c>
      <c r="Y26" s="10" t="str">
        <f t="shared" ca="1" si="9"/>
        <v/>
      </c>
      <c r="Z26" s="10" t="str">
        <f t="shared" ca="1" si="9"/>
        <v/>
      </c>
      <c r="AA26" s="10" t="str">
        <f t="shared" ca="1" si="9"/>
        <v/>
      </c>
      <c r="AB26" s="10" t="str">
        <f t="shared" ca="1" si="9"/>
        <v/>
      </c>
      <c r="AC26" s="10">
        <f t="shared" ca="1" si="10"/>
        <v>1</v>
      </c>
      <c r="AD26" s="10" t="str">
        <f t="shared" ca="1" si="10"/>
        <v/>
      </c>
      <c r="AE26" s="10" t="str">
        <f t="shared" ca="1" si="10"/>
        <v/>
      </c>
      <c r="AF26" s="10" t="str">
        <f t="shared" ca="1" si="10"/>
        <v/>
      </c>
      <c r="AG26" s="10" t="str">
        <f t="shared" ca="1" si="10"/>
        <v/>
      </c>
      <c r="AH26" s="10" t="str">
        <f t="shared" ca="1" si="10"/>
        <v/>
      </c>
      <c r="AI26" s="10" t="str">
        <f t="shared" ca="1" si="10"/>
        <v/>
      </c>
      <c r="AJ26" s="10" t="str">
        <f t="shared" ca="1" si="10"/>
        <v/>
      </c>
      <c r="AK26" s="10" t="str">
        <f t="shared" ca="1" si="10"/>
        <v/>
      </c>
    </row>
    <row r="27" spans="1:37" s="1" customFormat="1" ht="40.15" customHeight="1" x14ac:dyDescent="0.25">
      <c r="A27" s="3"/>
      <c r="B27" s="39" t="s">
        <v>36</v>
      </c>
      <c r="C27" s="13"/>
      <c r="D27" s="13"/>
      <c r="E27" s="14"/>
      <c r="F27" s="15"/>
      <c r="G27" s="16"/>
      <c r="H27" s="13"/>
      <c r="I27" s="10" t="str">
        <f t="shared" ca="1" si="8"/>
        <v/>
      </c>
      <c r="J27" s="10" t="str">
        <f t="shared" ca="1" si="8"/>
        <v/>
      </c>
      <c r="K27" s="10" t="str">
        <f t="shared" ca="1" si="8"/>
        <v/>
      </c>
      <c r="L27" s="10" t="str">
        <f t="shared" ca="1" si="8"/>
        <v/>
      </c>
      <c r="M27" s="10" t="str">
        <f t="shared" ca="1" si="8"/>
        <v/>
      </c>
      <c r="N27" s="10" t="str">
        <f t="shared" ca="1" si="8"/>
        <v/>
      </c>
      <c r="O27" s="10" t="str">
        <f t="shared" ca="1" si="8"/>
        <v/>
      </c>
      <c r="P27" s="10" t="str">
        <f t="shared" ca="1" si="8"/>
        <v/>
      </c>
      <c r="Q27" s="10" t="str">
        <f t="shared" ca="1" si="8"/>
        <v/>
      </c>
      <c r="R27" s="10" t="str">
        <f t="shared" ca="1" si="8"/>
        <v/>
      </c>
      <c r="S27" s="10" t="str">
        <f t="shared" ca="1" si="9"/>
        <v/>
      </c>
      <c r="T27" s="10" t="str">
        <f t="shared" ca="1" si="9"/>
        <v/>
      </c>
      <c r="U27" s="10" t="str">
        <f t="shared" ca="1" si="9"/>
        <v/>
      </c>
      <c r="V27" s="10" t="str">
        <f t="shared" ca="1" si="9"/>
        <v/>
      </c>
      <c r="W27" s="10" t="str">
        <f t="shared" ca="1" si="9"/>
        <v/>
      </c>
      <c r="X27" s="10" t="str">
        <f t="shared" ca="1" si="9"/>
        <v/>
      </c>
      <c r="Y27" s="10" t="str">
        <f t="shared" ca="1" si="9"/>
        <v/>
      </c>
      <c r="Z27" s="10" t="str">
        <f t="shared" ca="1" si="9"/>
        <v/>
      </c>
      <c r="AA27" s="10" t="str">
        <f t="shared" ca="1" si="9"/>
        <v/>
      </c>
      <c r="AB27" s="10" t="str">
        <f t="shared" ca="1" si="9"/>
        <v/>
      </c>
      <c r="AC27" s="10" t="str">
        <f t="shared" ca="1" si="10"/>
        <v/>
      </c>
      <c r="AD27" s="10" t="str">
        <f t="shared" ca="1" si="10"/>
        <v/>
      </c>
      <c r="AE27" s="10" t="str">
        <f t="shared" ca="1" si="10"/>
        <v/>
      </c>
      <c r="AF27" s="10" t="str">
        <f t="shared" ca="1" si="10"/>
        <v/>
      </c>
      <c r="AG27" s="10" t="str">
        <f t="shared" ca="1" si="10"/>
        <v/>
      </c>
      <c r="AH27" s="10" t="str">
        <f t="shared" ca="1" si="10"/>
        <v/>
      </c>
      <c r="AI27" s="10" t="str">
        <f t="shared" ca="1" si="10"/>
        <v/>
      </c>
      <c r="AJ27" s="10" t="str">
        <f t="shared" ca="1" si="10"/>
        <v/>
      </c>
      <c r="AK27" s="10" t="str">
        <f t="shared" ca="1" si="10"/>
        <v/>
      </c>
    </row>
    <row r="28" spans="1:37" s="1" customFormat="1" ht="40.15" customHeight="1" x14ac:dyDescent="0.25">
      <c r="A28" s="3"/>
      <c r="B28" s="17" t="s">
        <v>37</v>
      </c>
      <c r="C28" s="13" t="s">
        <v>16</v>
      </c>
      <c r="D28" s="13"/>
      <c r="E28" s="14"/>
      <c r="F28" s="15">
        <f ca="1">F12+22</f>
        <v>46063</v>
      </c>
      <c r="G28" s="16">
        <v>1</v>
      </c>
      <c r="H28" s="13"/>
      <c r="I28" s="10" t="str">
        <f t="shared" ca="1" si="8"/>
        <v/>
      </c>
      <c r="J28" s="10" t="str">
        <f t="shared" ca="1" si="8"/>
        <v/>
      </c>
      <c r="K28" s="10" t="str">
        <f t="shared" ca="1" si="8"/>
        <v/>
      </c>
      <c r="L28" s="10" t="str">
        <f t="shared" ca="1" si="8"/>
        <v/>
      </c>
      <c r="M28" s="10" t="str">
        <f t="shared" ca="1" si="8"/>
        <v/>
      </c>
      <c r="N28" s="10" t="str">
        <f t="shared" ca="1" si="8"/>
        <v/>
      </c>
      <c r="O28" s="10" t="str">
        <f t="shared" ca="1" si="8"/>
        <v/>
      </c>
      <c r="P28" s="10" t="str">
        <f t="shared" ca="1" si="8"/>
        <v/>
      </c>
      <c r="Q28" s="10" t="str">
        <f t="shared" ca="1" si="8"/>
        <v/>
      </c>
      <c r="R28" s="10" t="str">
        <f t="shared" ca="1" si="8"/>
        <v/>
      </c>
      <c r="S28" s="10" t="str">
        <f t="shared" ca="1" si="9"/>
        <v/>
      </c>
      <c r="T28" s="10" t="str">
        <f t="shared" ca="1" si="9"/>
        <v/>
      </c>
      <c r="U28" s="10" t="str">
        <f t="shared" ca="1" si="9"/>
        <v/>
      </c>
      <c r="V28" s="10" t="str">
        <f t="shared" ca="1" si="9"/>
        <v/>
      </c>
      <c r="W28" s="10" t="str">
        <f t="shared" ca="1" si="9"/>
        <v/>
      </c>
      <c r="X28" s="10" t="str">
        <f t="shared" ca="1" si="9"/>
        <v/>
      </c>
      <c r="Y28" s="10" t="str">
        <f t="shared" ca="1" si="9"/>
        <v/>
      </c>
      <c r="Z28" s="10" t="str">
        <f t="shared" ca="1" si="9"/>
        <v/>
      </c>
      <c r="AA28" s="10" t="str">
        <f t="shared" ca="1" si="9"/>
        <v/>
      </c>
      <c r="AB28" s="10" t="str">
        <f t="shared" ca="1" si="9"/>
        <v/>
      </c>
      <c r="AC28" s="10" t="str">
        <f t="shared" ca="1" si="10"/>
        <v/>
      </c>
      <c r="AD28" s="10">
        <f t="shared" ca="1" si="10"/>
        <v>1</v>
      </c>
      <c r="AE28" s="10" t="str">
        <f t="shared" ca="1" si="10"/>
        <v/>
      </c>
      <c r="AF28" s="10" t="str">
        <f t="shared" ca="1" si="10"/>
        <v/>
      </c>
      <c r="AG28" s="10" t="str">
        <f t="shared" ca="1" si="10"/>
        <v/>
      </c>
      <c r="AH28" s="10" t="str">
        <f t="shared" ca="1" si="10"/>
        <v/>
      </c>
      <c r="AI28" s="10" t="str">
        <f t="shared" ca="1" si="10"/>
        <v/>
      </c>
      <c r="AJ28" s="10" t="str">
        <f t="shared" ca="1" si="10"/>
        <v/>
      </c>
      <c r="AK28" s="10" t="str">
        <f t="shared" ca="1" si="10"/>
        <v/>
      </c>
    </row>
    <row r="29" spans="1:37" s="1" customFormat="1" ht="40.15" customHeight="1" x14ac:dyDescent="0.25">
      <c r="A29" s="3"/>
      <c r="B29" s="17" t="s">
        <v>32</v>
      </c>
      <c r="C29" s="13" t="s">
        <v>14</v>
      </c>
      <c r="D29" s="13"/>
      <c r="E29" s="14"/>
      <c r="F29" s="15">
        <f ca="1">F28+1</f>
        <v>46064</v>
      </c>
      <c r="G29" s="16">
        <v>3</v>
      </c>
      <c r="H29" s="13"/>
      <c r="I29" s="10" t="str">
        <f t="shared" ca="1" si="8"/>
        <v/>
      </c>
      <c r="J29" s="10" t="str">
        <f t="shared" ca="1" si="8"/>
        <v/>
      </c>
      <c r="K29" s="10" t="str">
        <f t="shared" ca="1" si="8"/>
        <v/>
      </c>
      <c r="L29" s="10" t="str">
        <f t="shared" ca="1" si="8"/>
        <v/>
      </c>
      <c r="M29" s="10" t="str">
        <f t="shared" ca="1" si="8"/>
        <v/>
      </c>
      <c r="N29" s="10" t="str">
        <f t="shared" ca="1" si="8"/>
        <v/>
      </c>
      <c r="O29" s="10" t="str">
        <f t="shared" ca="1" si="8"/>
        <v/>
      </c>
      <c r="P29" s="10" t="str">
        <f t="shared" ca="1" si="8"/>
        <v/>
      </c>
      <c r="Q29" s="10" t="str">
        <f t="shared" ca="1" si="8"/>
        <v/>
      </c>
      <c r="R29" s="10" t="str">
        <f t="shared" ca="1" si="8"/>
        <v/>
      </c>
      <c r="S29" s="10" t="str">
        <f t="shared" ca="1" si="9"/>
        <v/>
      </c>
      <c r="T29" s="10" t="str">
        <f t="shared" ca="1" si="9"/>
        <v/>
      </c>
      <c r="U29" s="10" t="str">
        <f t="shared" ca="1" si="9"/>
        <v/>
      </c>
      <c r="V29" s="10" t="str">
        <f t="shared" ca="1" si="9"/>
        <v/>
      </c>
      <c r="W29" s="10" t="str">
        <f t="shared" ca="1" si="9"/>
        <v/>
      </c>
      <c r="X29" s="10" t="str">
        <f t="shared" ca="1" si="9"/>
        <v/>
      </c>
      <c r="Y29" s="10" t="str">
        <f t="shared" ca="1" si="9"/>
        <v/>
      </c>
      <c r="Z29" s="10" t="str">
        <f t="shared" ca="1" si="9"/>
        <v/>
      </c>
      <c r="AA29" s="10" t="str">
        <f t="shared" ca="1" si="9"/>
        <v/>
      </c>
      <c r="AB29" s="10" t="str">
        <f t="shared" ca="1" si="9"/>
        <v/>
      </c>
      <c r="AC29" s="10" t="str">
        <f t="shared" ca="1" si="10"/>
        <v/>
      </c>
      <c r="AD29" s="10" t="str">
        <f t="shared" ca="1" si="10"/>
        <v/>
      </c>
      <c r="AE29" s="10">
        <f t="shared" ca="1" si="10"/>
        <v>2</v>
      </c>
      <c r="AF29" s="10">
        <f t="shared" ca="1" si="10"/>
        <v>2</v>
      </c>
      <c r="AG29" s="10">
        <f t="shared" ca="1" si="10"/>
        <v>2</v>
      </c>
      <c r="AH29" s="10" t="str">
        <f t="shared" ca="1" si="10"/>
        <v/>
      </c>
      <c r="AI29" s="10" t="str">
        <f t="shared" ca="1" si="10"/>
        <v/>
      </c>
      <c r="AJ29" s="10" t="str">
        <f t="shared" ca="1" si="10"/>
        <v/>
      </c>
      <c r="AK29" s="10" t="str">
        <f t="shared" ca="1" si="10"/>
        <v/>
      </c>
    </row>
  </sheetData>
  <mergeCells count="8">
    <mergeCell ref="U4:Y4"/>
    <mergeCell ref="AA4:AE4"/>
    <mergeCell ref="AG4:AK4"/>
    <mergeCell ref="B2:H2"/>
    <mergeCell ref="I2:N2"/>
    <mergeCell ref="O2:T2"/>
    <mergeCell ref="I4:M4"/>
    <mergeCell ref="O4:S4"/>
  </mergeCells>
  <conditionalFormatting sqref="E9:E29">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7:AJ29">
    <cfRule type="expression" dxfId="9" priority="1">
      <formula>AND(TODAY()&gt;=I$7,TODAY()&lt;J$7)</formula>
    </cfRule>
  </conditionalFormatting>
  <conditionalFormatting sqref="I6:AK6">
    <cfRule type="expression" dxfId="8" priority="4">
      <formula>I$7&lt;=EOMONTH($I$7,0)</formula>
    </cfRule>
  </conditionalFormatting>
  <conditionalFormatting sqref="J6:AK6">
    <cfRule type="expression" dxfId="7" priority="3">
      <formula>AND(J$7&lt;=EOMONTH($I$7,2),J$7&gt;EOMONTH($I$7,0),J$7&gt;EOMONTH($I$7,1))</formula>
    </cfRule>
  </conditionalFormatting>
  <conditionalFormatting sqref="I6:AK6">
    <cfRule type="expression" dxfId="6" priority="2">
      <formula>AND(I$7&lt;=EOMONTH($I$7,1),I$7&gt;EOMONTH($I$7,0))</formula>
    </cfRule>
  </conditionalFormatting>
  <conditionalFormatting sqref="I10:AK29">
    <cfRule type="expression" dxfId="5" priority="7" stopIfTrue="1">
      <formula>AND($C10="Risque faible",I$7&gt;=$F10,I$7&lt;=$F10+$G10-1)</formula>
    </cfRule>
    <cfRule type="expression" dxfId="4" priority="8" stopIfTrue="1">
      <formula>AND($C10="Risque élevé",I$7&gt;=$F10,I$7&lt;=$F10+$G10-1)</formula>
    </cfRule>
    <cfRule type="expression" dxfId="3" priority="9" stopIfTrue="1">
      <formula>AND($C10="En bonne voie",I$7&gt;=$F10,I$7&lt;=$F10+$G10-1)</formula>
    </cfRule>
    <cfRule type="expression" dxfId="2" priority="10" stopIfTrue="1">
      <formula>AND($C10="Risque moyen",I$7&gt;=$F10,I$7&lt;=$F10+$G10-1)</formula>
    </cfRule>
    <cfRule type="expression" dxfId="1" priority="11" stopIfTrue="1">
      <formula>AND(LEN($C10)=0,I$7&gt;=$F10,I$7&lt;=$F10+$G10-1)</formula>
    </cfRule>
  </conditionalFormatting>
  <conditionalFormatting sqref="AK7:AK29">
    <cfRule type="expression" dxfId="0" priority="44">
      <formula>AND(TODAY()&gt;=AK$7,TODAY()&lt;#REF!)</formula>
    </cfRule>
  </conditionalFormatting>
  <dataValidations count="11">
    <dataValidation type="whole" operator="greaterThanOrEqual" allowBlank="1" showInputMessage="1" promptTitle="Incrément de défilement" prompt="La modification de ce nombre entraînera la défilement du diagramme de Gantt." sqref="C7" xr:uid="{662A47A0-7258-440E-8D71-BC54CBC9C651}">
      <formula1>0</formula1>
    </dataValidation>
    <dataValidation type="list" allowBlank="1" showInputMessage="1" showErrorMessage="1" sqref="C10 C12:C29" xr:uid="{12A8278F-D51D-4B98-A311-DB5FCD18D214}">
      <formula1>"Objectif,Jalon,En bonne voie, Risque faible, Risque moyen, Risque élevé"</formula1>
    </dataValidation>
    <dataValidation type="list" allowBlank="1" showInputMessage="1" sqref="C11" xr:uid="{218D9212-09C8-4DA2-9014-64503951B170}">
      <formula1>"Objectif,Jalon,En bonne voie, Risque faible, Risque moyen, Risque élevé"</formula1>
    </dataValidation>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E4602294-DCCD-4B4D-A916-B5520C80CF80}"/>
    <dataValidation allowBlank="1" showInputMessage="1" showErrorMessage="1" prompt="Entrez le nom de la société dans la cellule B4._x000a_Une légende se trouve dans les cellules I4 à AC4. L’étiquette Légende se trouve dans la cellule G4." sqref="A4" xr:uid="{162198D7-BB96-453A-BB1C-71A472FB68F5}"/>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9BBE640D-6E85-4D9D-AF8E-654ECD5CE97D}"/>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D018285A-B1BB-4604-A67E-E25F048BC864}"/>
    <dataValidation allowBlank="1" showInputMessage="1" showErrorMessage="1" prompt="Les cellules I9 à BL9 contiennent le numéro de jour du mois représenté dans le bloc de cellules au-dessus de chaque cellule de date. Calculated._x000a_Ne pas modifier ces cellules._x000a_" sqref="A7" xr:uid="{1544BB7A-7F3E-469D-9CB6-4B9BACED7ACE}"/>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37D7247-B514-41B2-94CC-2F538E17DE66}"/>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6AB925DC-9BC9-4EC3-A848-25121289EEC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77315CCB-C571-42B0-8983-9C17BB04F75F}"/>
  </dataValidations>
  <printOptions horizontalCentered="1"/>
  <pageMargins left="0.25" right="0.25" top="0.5" bottom="0.5" header="0.3" footer="0.3"/>
  <pageSetup paperSize="9" scale="41"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E9:E29</xm:sqref>
        </x14:conditionalFormatting>
        <x14:conditionalFormatting xmlns:xm="http://schemas.microsoft.com/office/excel/2006/main">
          <x14:cfRule type="iconSet" priority="59"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I10:AK29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5" ma:contentTypeDescription="Create a new document." ma:contentTypeScope="" ma:versionID="e02306daf00165b375dc6a58966960b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df88fb76bf5f555224557953949c1ec9"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F2F40C-D12E-4644-AA6E-31E499F048DC}">
  <ds:schemaRefs>
    <ds:schemaRef ds:uri="http://schemas.microsoft.com/sharepoint/v3/contenttype/forms"/>
  </ds:schemaRefs>
</ds:datastoreItem>
</file>

<file path=customXml/itemProps2.xml><?xml version="1.0" encoding="utf-8"?>
<ds:datastoreItem xmlns:ds="http://schemas.openxmlformats.org/officeDocument/2006/customXml" ds:itemID="{6CD6AD73-D703-40CF-AB8D-72E6A3921BEB}">
  <ds:schemaRefs>
    <ds:schemaRef ds:uri="http://schemas.microsoft.com/sharepoint/v3"/>
    <ds:schemaRef ds:uri="http://www.w3.org/XML/1998/namespace"/>
    <ds:schemaRef ds:uri="http://purl.org/dc/elements/1.1/"/>
    <ds:schemaRef ds:uri="71af3243-3dd4-4a8d-8c0d-dd76da1f02a5"/>
    <ds:schemaRef ds:uri="16c05727-aa75-4e4a-9b5f-8a80a1165891"/>
    <ds:schemaRef ds:uri="http://purl.org/dc/dcmitype/"/>
    <ds:schemaRef ds:uri="http://schemas.microsoft.com/office/2006/documentManagement/types"/>
    <ds:schemaRef ds:uri="http://purl.org/dc/terms/"/>
    <ds:schemaRef ds:uri="230e9df3-be65-4c73-a93b-d1236ebd677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E419B9A7-BD90-4E8F-A951-10D5C69324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Feuilles de calcul</vt:lpstr>
      </vt:variant>
      <vt:variant>
        <vt:i4>1</vt:i4>
      </vt:variant>
      <vt:variant>
        <vt:lpstr>Plages nommées</vt:lpstr>
      </vt:variant>
      <vt:variant>
        <vt:i4>3</vt:i4>
      </vt:variant>
    </vt:vector>
  </HeadingPairs>
  <TitlesOfParts>
    <vt:vector size="4" baseType="lpstr">
      <vt:lpstr>Projet</vt:lpstr>
      <vt:lpstr>Projet!Début_Projet</vt:lpstr>
      <vt:lpstr>Projet!Impression_des_titres</vt:lpstr>
      <vt:lpstr>Projet!Incrément_de_défilement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2022-10-24T06:07:12Z</dcterms:created>
  <dcterms:modified xsi:type="dcterms:W3CDTF">2026-01-19T07:28:15Z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